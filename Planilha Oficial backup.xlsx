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ucasdematos/Desktop/"/>
    </mc:Choice>
  </mc:AlternateContent>
  <xr:revisionPtr revIDLastSave="0" documentId="8_{6990FDDA-8603-054C-861D-9C423596646C}" xr6:coauthVersionLast="47" xr6:coauthVersionMax="47" xr10:uidLastSave="{00000000-0000-0000-0000-000000000000}"/>
  <bookViews>
    <workbookView xWindow="660" yWindow="660" windowWidth="28740" windowHeight="18460" tabRatio="500" activeTab="2" xr2:uid="{00000000-000D-0000-FFFF-FFFF00000000}"/>
  </bookViews>
  <sheets>
    <sheet name="Nível Geral" sheetId="1" r:id="rId1"/>
    <sheet name="Geral" sheetId="2" r:id="rId2"/>
    <sheet name="Nível IQ" sheetId="3" r:id="rId3"/>
    <sheet name="IQ" sheetId="4" r:id="rId4"/>
    <sheet name="Dados " sheetId="5" r:id="rId5"/>
    <sheet name="Dados Mês a mês " sheetId="6" r:id="rId6"/>
    <sheet name="Fundos Selecionados" sheetId="7" r:id="rId7"/>
    <sheet name="Geral Light - IG" sheetId="8" r:id="rId8"/>
    <sheet name="Carteira IG" sheetId="13" r:id="rId9"/>
    <sheet name="IQ 360" sheetId="9" r:id="rId10"/>
    <sheet name="IQ MH" sheetId="14" r:id="rId11"/>
  </sheets>
  <definedNames>
    <definedName name="_xlnm._FilterDatabase" localSheetId="5" hidden="1">'Dados Mês a mês '!$A$47:$L$110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8" i="6" l="1"/>
  <c r="H110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9" i="6"/>
  <c r="G110" i="6"/>
  <c r="G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48" i="6"/>
  <c r="D94" i="4"/>
  <c r="L108" i="6" l="1"/>
  <c r="L78" i="6"/>
  <c r="L68" i="6"/>
  <c r="L88" i="6"/>
  <c r="L58" i="6"/>
  <c r="L101" i="6"/>
  <c r="L98" i="6"/>
  <c r="L87" i="6"/>
  <c r="L57" i="6"/>
  <c r="L107" i="6"/>
  <c r="L67" i="6"/>
  <c r="L86" i="6"/>
  <c r="L66" i="6"/>
  <c r="L77" i="6"/>
  <c r="L106" i="6"/>
  <c r="L76" i="6"/>
  <c r="L97" i="6"/>
  <c r="L96" i="6"/>
  <c r="L56" i="6"/>
  <c r="L94" i="6"/>
  <c r="L105" i="6"/>
  <c r="L95" i="6"/>
  <c r="L85" i="6"/>
  <c r="L75" i="6"/>
  <c r="L65" i="6"/>
  <c r="L55" i="6"/>
  <c r="L104" i="6"/>
  <c r="L84" i="6"/>
  <c r="L74" i="6"/>
  <c r="L54" i="6"/>
  <c r="L64" i="6"/>
  <c r="L83" i="6"/>
  <c r="L102" i="6"/>
  <c r="L92" i="6"/>
  <c r="L82" i="6"/>
  <c r="L72" i="6"/>
  <c r="L62" i="6"/>
  <c r="L52" i="6"/>
  <c r="L93" i="6"/>
  <c r="L73" i="6"/>
  <c r="L48" i="6"/>
  <c r="L91" i="6"/>
  <c r="L81" i="6"/>
  <c r="L71" i="6"/>
  <c r="L61" i="6"/>
  <c r="L51" i="6"/>
  <c r="L53" i="6"/>
  <c r="L110" i="6"/>
  <c r="L100" i="6"/>
  <c r="L90" i="6"/>
  <c r="L80" i="6"/>
  <c r="L70" i="6"/>
  <c r="L60" i="6"/>
  <c r="L50" i="6"/>
  <c r="L103" i="6"/>
  <c r="L63" i="6"/>
  <c r="L109" i="6"/>
  <c r="L99" i="6"/>
  <c r="L89" i="6"/>
  <c r="L79" i="6"/>
  <c r="L69" i="6"/>
  <c r="L59" i="6"/>
  <c r="L4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 (agente Lucas)</author>
    <author>Claude</author>
  </authors>
  <commentList>
    <comment ref="C44" authorId="0" shapeId="0" xr:uid="{00000000-0006-0000-0500-000001000000}">
      <text>
        <r>
          <rPr>
            <sz val="10"/>
            <rFont val="Arial"/>
            <family val="2"/>
          </rPr>
          <t>Fonte: Mais Retorno / BCB (CDI), extraído em 09/07/2026</t>
        </r>
      </text>
    </comment>
    <comment ref="D44" authorId="0" shapeId="0" xr:uid="{00000000-0006-0000-0500-000002000000}">
      <text>
        <r>
          <rPr>
            <sz val="10"/>
            <color rgb="FF000000"/>
            <rFont val="Arial"/>
            <family val="2"/>
          </rPr>
          <t>IPCA de Jun/2026 ainda não divulgado pelo IBGE na data de extração (09/07/2026) — célula deixada em branco propositalmente</t>
        </r>
      </text>
    </comment>
    <comment ref="E44" authorId="0" shapeId="0" xr:uid="{00000000-0006-0000-0500-000003000000}">
      <text>
        <r>
          <rPr>
            <sz val="10"/>
            <rFont val="Arial"/>
            <family val="2"/>
          </rPr>
          <t>Fonte: Mais Retorno / BCB (SELIC), extraído em 09/07/2026</t>
        </r>
      </text>
    </comment>
    <comment ref="F44" authorId="0" shapeId="0" xr:uid="{00000000-0006-0000-0500-000004000000}">
      <text>
        <r>
          <rPr>
            <sz val="10"/>
            <rFont val="Arial"/>
            <family val="2"/>
          </rPr>
          <t>Fonte: Mais Retorno (IBOV), extraído em 09/07/2026</t>
        </r>
      </text>
    </comment>
    <comment ref="G44" authorId="0" shapeId="0" xr:uid="{00000000-0006-0000-0500-000005000000}">
      <text>
        <r>
          <rPr>
            <sz val="10"/>
            <rFont val="Arial"/>
            <family val="2"/>
          </rPr>
          <t>Fonte: Mais Retorno (Dólar), extraído em 09/07/2026</t>
        </r>
      </text>
    </comment>
    <comment ref="H44" authorId="0" shapeId="0" xr:uid="{00000000-0006-0000-0500-000006000000}">
      <text>
        <r>
          <rPr>
            <sz val="10"/>
            <color rgb="FF000000"/>
            <rFont val="Arial"/>
            <family val="2"/>
          </rPr>
          <t>Fonte: Tesouro Selic — mesmo valor da SELIC, conforme padrão já usado nas colunas anteriores da planilha</t>
        </r>
      </text>
    </comment>
    <comment ref="I44" authorId="0" shapeId="0" xr:uid="{00000000-0006-0000-0500-000007000000}">
      <text>
        <r>
          <rPr>
            <sz val="10"/>
            <rFont val="Arial"/>
            <family val="2"/>
          </rPr>
          <t>Fonte: Mais Retorno, extraído em 09/07/2026 (fundo 'overlap' já presente na aba Fundos Selecionados)</t>
        </r>
      </text>
    </comment>
    <comment ref="K44" authorId="0" shapeId="0" xr:uid="{00000000-0006-0000-0500-000009000000}">
      <text>
        <r>
          <rPr>
            <sz val="10"/>
            <rFont val="Arial"/>
            <family val="2"/>
          </rPr>
          <t>Fonte: Mais Retorno, CNPJ 26.759.909/0001-11, extraído em 09/07/2026</t>
        </r>
      </text>
    </comment>
    <comment ref="L44" authorId="0" shapeId="0" xr:uid="{00000000-0006-0000-0500-00000A000000}">
      <text>
        <r>
          <rPr>
            <sz val="10"/>
            <rFont val="Arial"/>
            <family val="2"/>
          </rPr>
          <t>Fonte: Mais Retorno, CNPJ 20.824.446/0001-48, extraído em 09/07/2026</t>
        </r>
      </text>
    </comment>
    <comment ref="M44" authorId="0" shapeId="0" xr:uid="{00000000-0006-0000-0500-00000B000000}">
      <text>
        <r>
          <rPr>
            <sz val="10"/>
            <rFont val="Arial"/>
            <family val="2"/>
          </rPr>
          <t>Fonte: Mais Retorno, CNPJ 35.505.971/0001-78, extraído em 09/07/2026</t>
        </r>
      </text>
    </comment>
    <comment ref="N44" authorId="0" shapeId="0" xr:uid="{00000000-0006-0000-0500-00000C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O44" authorId="0" shapeId="0" xr:uid="{00000000-0006-0000-0500-00000D000000}">
      <text>
        <r>
          <rPr>
            <sz val="10"/>
            <rFont val="Arial"/>
            <family val="2"/>
          </rPr>
          <t>Fonte: Mais Retorno, extraído em 09/07/2026 (fundo 'overlap', reconfirmado)</t>
        </r>
      </text>
    </comment>
    <comment ref="P44" authorId="0" shapeId="0" xr:uid="{00000000-0006-0000-0500-00000E000000}">
      <text>
        <r>
          <rPr>
            <sz val="10"/>
            <rFont val="Arial"/>
            <family val="2"/>
          </rPr>
          <t>Fonte: Mais Retorno, CNPJ 08.610.270/0001-26, extraído em 09/07/2026</t>
        </r>
      </text>
    </comment>
    <comment ref="Q44" authorId="0" shapeId="0" xr:uid="{00000000-0006-0000-0500-00000F000000}">
      <text>
        <r>
          <rPr>
            <sz val="10"/>
            <rFont val="Arial"/>
            <family val="2"/>
          </rPr>
          <t>Fonte: Mais Retorno, CNPJ 14.237.118/0001-42, extraído em 09/07/2026</t>
        </r>
      </text>
    </comment>
    <comment ref="R44" authorId="0" shapeId="0" xr:uid="{00000000-0006-0000-0500-000010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S44" authorId="0" shapeId="0" xr:uid="{00000000-0006-0000-0500-000011000000}">
      <text>
        <r>
          <rPr>
            <sz val="10"/>
            <rFont val="Arial"/>
            <family val="2"/>
          </rPr>
          <t>Fonte: Mais Retorno, CNPJ 20.146.294/0001-71, extraído em 09/07/2026</t>
        </r>
      </text>
    </comment>
    <comment ref="T44" authorId="0" shapeId="0" xr:uid="{00000000-0006-0000-0500-000012000000}">
      <text>
        <r>
          <rPr>
            <sz val="10"/>
            <rFont val="Arial"/>
            <family val="2"/>
          </rPr>
          <t>Fonte: Mais Retorno, CNPJ 23.272.391/0001-07, extraído em 09/07/2026</t>
        </r>
      </text>
    </comment>
    <comment ref="U44" authorId="0" shapeId="0" xr:uid="{00000000-0006-0000-0500-000013000000}">
      <text>
        <r>
          <rPr>
            <sz val="10"/>
            <rFont val="Arial"/>
            <family val="2"/>
          </rPr>
          <t>Fonte: Mais Retorno, CNPJ 50.367.933/0001-90, extraído em 09/07/2026</t>
        </r>
      </text>
    </comment>
    <comment ref="V44" authorId="0" shapeId="0" xr:uid="{00000000-0006-0000-0500-000014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W44" authorId="0" shapeId="0" xr:uid="{00000000-0006-0000-0500-000015000000}">
      <text>
        <r>
          <rPr>
            <sz val="10"/>
            <rFont val="Arial"/>
            <family val="2"/>
          </rPr>
          <t>Fonte: Mais Retorno, CNPJ 26.525.450/0001-91, extraído em 09/07/2026</t>
        </r>
      </text>
    </comment>
    <comment ref="X44" authorId="0" shapeId="0" xr:uid="{00000000-0006-0000-0500-000016000000}">
      <text>
        <r>
          <rPr>
            <sz val="10"/>
            <rFont val="Arial"/>
            <family val="2"/>
          </rPr>
          <t>Fonte: Mais Retorno, CNPJ 35.828.684/0001-07, extraído em 09/07/2026</t>
        </r>
      </text>
    </comment>
    <comment ref="Y44" authorId="0" shapeId="0" xr:uid="{00000000-0006-0000-0500-000017000000}">
      <text>
        <r>
          <rPr>
            <sz val="10"/>
            <rFont val="Arial"/>
            <family val="2"/>
          </rPr>
          <t>SUBSTITUIÇÃO: CNPJ base 47.698.578/0001-27 sem histórico de rentabilidade (tabela toda '-'). Usado CNPJ 47.699.049/0001-48 (Legacy Capital Compound FIF CIC Incentivado Inv Deb Infra IPCA RF CP RL), mesma gestora/estratégia. Fonte: Mais Retorno, extraído em 09/07/2026</t>
        </r>
      </text>
    </comment>
    <comment ref="Z44" authorId="0" shapeId="0" xr:uid="{00000000-0006-0000-0500-000018000000}">
      <text>
        <r>
          <rPr>
            <sz val="10"/>
            <rFont val="Arial"/>
            <family val="2"/>
          </rPr>
          <t>Fonte: Mais Retorno, CNPJ 07.812.369/0001-48, extraído em 09/07/2026</t>
        </r>
      </text>
    </comment>
    <comment ref="AA44" authorId="0" shapeId="0" xr:uid="{00000000-0006-0000-0500-000019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AB44" authorId="0" shapeId="0" xr:uid="{00000000-0006-0000-0500-00001A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AC44" authorId="0" shapeId="0" xr:uid="{00000000-0006-0000-0500-00001B000000}">
      <text>
        <r>
          <rPr>
            <sz val="10"/>
            <rFont val="Arial"/>
            <family val="2"/>
          </rPr>
          <t>Fonte: Mais Retorno, CNPJ 41.994.712/0001-50, extraído em 09/07/2026</t>
        </r>
      </text>
    </comment>
    <comment ref="AD44" authorId="0" shapeId="0" xr:uid="{00000000-0006-0000-0500-00001C000000}">
      <text>
        <r>
          <rPr>
            <sz val="10"/>
            <rFont val="Arial"/>
            <family val="2"/>
          </rPr>
          <t>Fonte: Mais Retorno, CNPJ 31.145.851/0001-56, extraído em 09/07/2026</t>
        </r>
      </text>
    </comment>
    <comment ref="AE44" authorId="0" shapeId="0" xr:uid="{00000000-0006-0000-0500-00001D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AF44" authorId="0" shapeId="0" xr:uid="{00000000-0006-0000-0500-00001E000000}">
      <text>
        <r>
          <rPr>
            <sz val="10"/>
            <rFont val="Arial"/>
            <family val="2"/>
          </rPr>
          <t>SUBSTITUIÇÃO: CNPJ base 08.893.082/0001-52 (Gávea Macro FIC FIM) com tabela de rentabilidade vazia (feeder sem dados próprios). Usado CNPJ 08.875.020/0001-18 (Gávea Macro Master FIF Classe Investimento Mult RL), tratado como fundo Master/base — mesmo critério já aprovado para casos white-label/feeder. Fonte: Mais Retorno, extraído em 09/07/2026</t>
        </r>
      </text>
    </comment>
    <comment ref="AG44" authorId="0" shapeId="0" xr:uid="{00000000-0006-0000-0500-00001F000000}">
      <text>
        <r>
          <rPr>
            <sz val="10"/>
            <rFont val="Arial"/>
            <family val="2"/>
          </rPr>
          <t>Fonte: Mais Retorno, CNPJ 24.300.666/0001-23 (Gávea Macro Plus FIF CIC Mult RL), extraído em 09/07/2026</t>
        </r>
      </text>
    </comment>
    <comment ref="AH44" authorId="0" shapeId="0" xr:uid="{00000000-0006-0000-0500-000020000000}">
      <text>
        <r>
          <rPr>
            <sz val="10"/>
            <rFont val="Arial"/>
            <family val="2"/>
          </rPr>
          <t>Fonte: Mais Retorno, Ibiuna Hedge STH FIF Classe FIC Multimercado RL, extraído em 09/07/2026</t>
        </r>
      </text>
    </comment>
    <comment ref="AI44" authorId="0" shapeId="0" xr:uid="{00000000-0006-0000-0500-000021000000}">
      <text>
        <r>
          <rPr>
            <sz val="10"/>
            <rFont val="Arial"/>
            <family val="2"/>
          </rPr>
          <t>SUBSTITUIÇÃO: CNPJ base 11.111.063/0001-31 (Kapitalo Kappa FIC FIM) encerrado/sem dados após 2017. Usado CNPJ 26.978.199/0001-10 (Kapitalo Kappa Advisory FIF Cotas FIM), classe ativa da mesma família. Fonte: Mais Retorno, extraído em 09/07/2026</t>
        </r>
      </text>
    </comment>
    <comment ref="AJ44" authorId="0" shapeId="0" xr:uid="{00000000-0006-0000-0500-000022000000}">
      <text>
        <r>
          <rPr>
            <sz val="10"/>
            <rFont val="Arial"/>
            <family val="2"/>
          </rPr>
          <t>Fonte: Mais Retorno, CNPJ 12.105.992/0001-09 (Kapitalo Zeta FIF Cotas FIM), extraído em 09/07/2026</t>
        </r>
      </text>
    </comment>
    <comment ref="AK44" authorId="0" shapeId="0" xr:uid="{00000000-0006-0000-0500-000023000000}">
      <text>
        <r>
          <rPr>
            <sz val="10"/>
            <rFont val="Arial"/>
            <family val="2"/>
          </rPr>
          <t>Fonte: Mais Retorno, extraído em 09/07/2026 (fundo 'overlap', reconfirmado — Subclasse I)</t>
        </r>
      </text>
    </comment>
    <comment ref="AL44" authorId="0" shapeId="0" xr:uid="{00000000-0006-0000-0500-000024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AM44" authorId="0" shapeId="0" xr:uid="{00000000-0006-0000-0500-000025000000}">
      <text>
        <r>
          <rPr>
            <sz val="10"/>
            <rFont val="Arial"/>
            <family val="2"/>
          </rPr>
          <t>Fonte: Mais Retorno, CNPJ 32.397.723/0001-62 (Mar Absoluto FIF Cotas FIM), extraído em 09/07/2026</t>
        </r>
      </text>
    </comment>
    <comment ref="AN44" authorId="0" shapeId="0" xr:uid="{00000000-0006-0000-0500-000026000000}">
      <text>
        <r>
          <rPr>
            <sz val="10"/>
            <rFont val="Arial"/>
            <family val="2"/>
          </rPr>
          <t>SUBSTITUIÇÃO: feeder CNPJ 18.507.745/0001-07 (SPX Nimitz FIC FIM) descontinuado (dados só até 2024). Usado CNPJ 12.798.221/0001-36 (SPX Nimitz Master FIF Multimercado RL), tratado como fundo Master/base (white-label). Fonte: Mais Retorno, extraído em 09/07/2026</t>
        </r>
      </text>
    </comment>
    <comment ref="AO44" authorId="0" shapeId="0" xr:uid="{00000000-0006-0000-0500-000027000000}">
      <text>
        <r>
          <rPr>
            <sz val="10"/>
            <rFont val="Arial"/>
            <family val="2"/>
          </rPr>
          <t>Fonte: Mais Retorno, SPX Raptor Feeder FIF CIC Multimercado CP RL, extraído em 09/07/2026</t>
        </r>
      </text>
    </comment>
    <comment ref="AP44" authorId="0" shapeId="0" xr:uid="{00000000-0006-0000-0500-000028000000}">
      <text>
        <r>
          <rPr>
            <sz val="10"/>
            <rFont val="Arial"/>
            <family val="2"/>
          </rPr>
          <t>SUBSTITUIÇÃO: CNPJ base 54.087.357/0001-88 (Legacy V10) sem histórico de rentabilidade (tabela toda '-'). Usado CNPJ 54.953.009/0001-46 (Legacy Capital V10 Seleção FIF DA Classe FIC Multimercado RL). Fonte: Mais Retorno, extraído em 09/07/2026</t>
        </r>
      </text>
    </comment>
    <comment ref="AQ44" authorId="0" shapeId="0" xr:uid="{00000000-0006-0000-0500-000029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AR44" authorId="0" shapeId="0" xr:uid="{00000000-0006-0000-0500-00002A000000}">
      <text>
        <r>
          <rPr>
            <sz val="10"/>
            <rFont val="Arial"/>
            <family val="2"/>
          </rPr>
          <t>Fonte: Mais Retorno, CNPJ 21.646.715/0001-96, extraído em 09/07/2026</t>
        </r>
      </text>
    </comment>
    <comment ref="AS44" authorId="0" shapeId="0" xr:uid="{00000000-0006-0000-0500-00002B000000}">
      <text>
        <r>
          <rPr>
            <sz val="10"/>
            <rFont val="Arial"/>
            <family val="2"/>
          </rPr>
          <t>Fonte: Mais Retorno, CNPJ 30.057.258/0001-95, extraído em 09/07/2026</t>
        </r>
      </text>
    </comment>
    <comment ref="AT44" authorId="0" shapeId="0" xr:uid="{00000000-0006-0000-0500-00002C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AU44" authorId="0" shapeId="0" xr:uid="{00000000-0006-0000-0500-00002D000000}">
      <text>
        <r>
          <rPr>
            <sz val="10"/>
            <rFont val="Arial"/>
            <family val="2"/>
          </rPr>
          <t>Fonte: Mais Retorno, CNPJ 37.487.351/0001-89, extraído em 09/07/2026</t>
        </r>
      </text>
    </comment>
    <comment ref="AV44" authorId="0" shapeId="0" xr:uid="{00000000-0006-0000-0500-00002E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AW44" authorId="0" shapeId="0" xr:uid="{00000000-0006-0000-0500-00002F000000}">
      <text>
        <r>
          <rPr>
            <sz val="10"/>
            <rFont val="Arial"/>
            <family val="2"/>
          </rPr>
          <t>Fonte: Mais Retorno, CNPJ 11.145.320/0001-56, extraído em 09/07/2026</t>
        </r>
      </text>
    </comment>
    <comment ref="AX44" authorId="0" shapeId="0" xr:uid="{00000000-0006-0000-0500-000030000000}">
      <text>
        <r>
          <rPr>
            <sz val="10"/>
            <rFont val="Arial"/>
            <family val="2"/>
          </rPr>
          <t>Fonte: Mais Retorno, CNPJ 08.323.402/0001-39, extraído em 09/07/2026</t>
        </r>
      </text>
    </comment>
    <comment ref="AY44" authorId="0" shapeId="0" xr:uid="{00000000-0006-0000-0500-000031000000}">
      <text>
        <r>
          <rPr>
            <sz val="10"/>
            <rFont val="Arial"/>
            <family val="2"/>
          </rPr>
          <t>Fonte: Mais Retorno, CNPJ 29.286.347/0001-24, extraído em 09/07/2026</t>
        </r>
      </text>
    </comment>
    <comment ref="AZ44" authorId="0" shapeId="0" xr:uid="{00000000-0006-0000-0500-000033000000}">
      <text>
        <r>
          <rPr>
            <sz val="10"/>
            <rFont val="Arial"/>
            <family val="2"/>
          </rPr>
          <t>Fonte: Mais Retorno, CNPJ 14.866.273/0001-28, extraído em 09/07/2026</t>
        </r>
      </text>
    </comment>
    <comment ref="BA44" authorId="0" shapeId="0" xr:uid="{00000000-0006-0000-0500-000034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BB44" authorId="0" shapeId="0" xr:uid="{00000000-0006-0000-0500-000035000000}">
      <text>
        <r>
          <rPr>
            <sz val="10"/>
            <rFont val="Arial"/>
            <family val="2"/>
          </rPr>
          <t>Fonte: Mais Retorno, CNPJ 07.317.588/0001-50, extraído em 09/07/2026</t>
        </r>
      </text>
    </comment>
    <comment ref="BC44" authorId="0" shapeId="0" xr:uid="{00000000-0006-0000-0500-000036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BD44" authorId="0" shapeId="0" xr:uid="{00000000-0006-0000-0500-000037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BE44" authorId="0" shapeId="0" xr:uid="{00000000-0006-0000-0500-000038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BF44" authorId="0" shapeId="0" xr:uid="{00000000-0006-0000-0500-000039000000}">
      <text>
        <r>
          <rPr>
            <sz val="10"/>
            <rFont val="Arial"/>
            <family val="2"/>
          </rPr>
          <t>Fonte: Mais Retorno, CNPJ 29.544.764/0001-20, extraído em 09/07/2026</t>
        </r>
      </text>
    </comment>
    <comment ref="BG44" authorId="0" shapeId="0" xr:uid="{00000000-0006-0000-0500-00003A000000}">
      <text>
        <r>
          <rPr>
            <sz val="10"/>
            <rFont val="Arial"/>
            <family val="2"/>
          </rPr>
          <t>Fonte: Mais Retorno, CNPJ 12.987.743/0001-86, extraído em 09/07/2026</t>
        </r>
      </text>
    </comment>
    <comment ref="BH44" authorId="0" shapeId="0" xr:uid="{00000000-0006-0000-0500-00003B000000}">
      <text>
        <r>
          <rPr>
            <sz val="10"/>
            <rFont val="Arial"/>
            <family val="2"/>
          </rPr>
          <t>Fonte: Mais Retorno, CNPJ 08.940.189/0001-04 (Velt Partners), extraído em 09/07/2026</t>
        </r>
      </text>
    </comment>
    <comment ref="BI44" authorId="0" shapeId="0" xr:uid="{00000000-0006-0000-0500-00003C000000}">
      <text>
        <r>
          <rPr>
            <sz val="10"/>
            <rFont val="Arial"/>
            <family val="2"/>
          </rPr>
          <t>Fonte: Mais Retorno, extraído em 09/07/2026 (fundo 'overlap')</t>
        </r>
      </text>
    </comment>
    <comment ref="BK44" authorId="1" shapeId="0" xr:uid="{5BB4FF4E-C2F3-8144-9C8B-F27F360EE57F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BL44" authorId="1" shapeId="0" xr:uid="{C24A7404-1862-F947-B983-495C5D25228B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BM44" authorId="1" shapeId="0" xr:uid="{BEA5696E-6444-9D4D-BA89-DB32D4A5D08E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BN44" authorId="1" shapeId="0" xr:uid="{77DB4CF6-80E4-0B44-ABF4-02A848205CCE}">
      <text>
        <r>
          <rPr>
            <sz val="10"/>
            <color rgb="FF000000"/>
            <rFont val="Arial"/>
            <family val="2"/>
          </rPr>
          <t>CDBI11: coluna sem dado de mercado direto disponivel/comparavel na base. Por instrucao do usuario, replicado o valor da coluna Tesouro Selic / Fundo Simples (col H) para todas as linhas.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C44" authorId="0" shapeId="0" xr:uid="{00000000-0006-0000-0600-000001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D44" authorId="0" shapeId="0" xr:uid="{00000000-0006-0000-0600-000002000000}">
      <text>
        <r>
          <rPr>
            <sz val="10"/>
            <color rgb="FF000000"/>
            <rFont val="Arial"/>
            <family val="2"/>
          </rPr>
          <t>IPCA de Jun/2026 ainda nao divulgado pelo IBGE (previsao de divulgacao: 10/07/2026). Celula deixada em branco propositalmente.</t>
        </r>
      </text>
    </comment>
    <comment ref="E44" authorId="0" shapeId="0" xr:uid="{00000000-0006-0000-0600-000003000000}">
      <text>
        <r>
          <rPr>
            <sz val="10"/>
            <color rgb="FF00000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F44" authorId="0" shapeId="0" xr:uid="{00000000-0006-0000-0600-000004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G44" authorId="0" shapeId="0" xr:uid="{00000000-0006-0000-0600-000005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H44" authorId="0" shapeId="0" xr:uid="{00000000-0006-0000-0600-000006000000}">
      <text>
        <r>
          <rPr>
            <sz val="10"/>
            <color rgb="FF00000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I44" authorId="0" shapeId="0" xr:uid="{00000000-0006-0000-0600-000007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J44" authorId="0" shapeId="0" xr:uid="{00000000-0006-0000-0600-000008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K44" authorId="0" shapeId="0" xr:uid="{00000000-0006-0000-0600-000009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L44" authorId="0" shapeId="0" xr:uid="{00000000-0006-0000-0600-00000A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M44" authorId="0" shapeId="0" xr:uid="{00000000-0006-0000-0600-00000B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N44" authorId="0" shapeId="0" xr:uid="{00000000-0006-0000-0600-00000C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O44" authorId="0" shapeId="0" xr:uid="{00000000-0006-0000-0600-00000D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P44" authorId="0" shapeId="0" xr:uid="{00000000-0006-0000-0600-00000E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Q44" authorId="0" shapeId="0" xr:uid="{00000000-0006-0000-0600-00000F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R44" authorId="0" shapeId="0" xr:uid="{00000000-0006-0000-0600-000010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S44" authorId="0" shapeId="0" xr:uid="{00000000-0006-0000-0600-000011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T44" authorId="0" shapeId="0" xr:uid="{00000000-0006-0000-0600-000012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U44" authorId="0" shapeId="0" xr:uid="{00000000-0006-0000-0600-000013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V44" authorId="0" shapeId="0" xr:uid="{00000000-0006-0000-0600-000014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W44" authorId="0" shapeId="0" xr:uid="{00000000-0006-0000-0600-000015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X44" authorId="0" shapeId="0" xr:uid="{00000000-0006-0000-0600-000016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Y44" authorId="0" shapeId="0" xr:uid="{00000000-0006-0000-0600-000017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Z44" authorId="0" shapeId="0" xr:uid="{00000000-0006-0000-0600-000018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AA44" authorId="0" shapeId="0" xr:uid="{00000000-0006-0000-0600-000019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AB44" authorId="0" shapeId="0" xr:uid="{00000000-0006-0000-0600-00001A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AC44" authorId="0" shapeId="0" xr:uid="{00000000-0006-0000-0600-00001B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AD44" authorId="0" shapeId="0" xr:uid="{00000000-0006-0000-0600-00001C000000}">
      <text>
        <r>
          <rPr>
            <sz val="10"/>
            <rFont val="Arial"/>
            <family val="2"/>
          </rPr>
          <t>Fonte: Mais Retorno (maisretorno.com), dado extraido em 08/07/2026 por agente Claude. Ver relatorio de fontes para CNPJ/fundo especifico.</t>
        </r>
      </text>
    </comment>
    <comment ref="AE44" authorId="0" shapeId="0" xr:uid="{00000000-0006-0000-0600-00001D000000}">
      <text>
        <r>
          <rPr>
            <sz val="10"/>
            <rFont val="Arial"/>
            <family val="2"/>
          </rPr>
          <t>CDBI11: coluna sem dado de mercado direto disponivel/comparavel na base. Por instrucao do usuario, replicado o valor da coluna Tesouro Selic / Fundo Simples (col H) para todas as linhas.</t>
        </r>
      </text>
    </comment>
  </commentList>
</comments>
</file>

<file path=xl/sharedStrings.xml><?xml version="1.0" encoding="utf-8"?>
<sst xmlns="http://schemas.openxmlformats.org/spreadsheetml/2006/main" count="1875" uniqueCount="240">
  <si>
    <t xml:space="preserve">Carteira </t>
  </si>
  <si>
    <t xml:space="preserve">Nível </t>
  </si>
  <si>
    <t xml:space="preserve">Percentual </t>
  </si>
  <si>
    <t>Carteira</t>
  </si>
  <si>
    <t>Tesouro Selic / Fundo Simples (Todas) / CDI</t>
  </si>
  <si>
    <t>Reserva de Emergência</t>
  </si>
  <si>
    <t>Tesouro Selic / Fundo Simples (Todas)</t>
  </si>
  <si>
    <t>ARX Fuji (XP, BTG, Safra)</t>
  </si>
  <si>
    <t>BNP Paribas Rubi (XP, BTG, Safra)</t>
  </si>
  <si>
    <t>Ibiuna Credit (XP, BTG, Safra, Inter)</t>
  </si>
  <si>
    <t>ARX Hedge Infra (XP, BTG, Safra, Inter)</t>
  </si>
  <si>
    <t>Abrigo</t>
  </si>
  <si>
    <t xml:space="preserve">Kinea Atlas (Itaú/Íon, XP, BTG, Inter, Santander, Warren) </t>
  </si>
  <si>
    <t xml:space="preserve">Dahlia Total Return (XP, BTG, Genial, Inter) </t>
  </si>
  <si>
    <t xml:space="preserve">Hix Capital HS FIA (XP, BTG) </t>
  </si>
  <si>
    <t xml:space="preserve">Ritmo </t>
  </si>
  <si>
    <t>Sparta/Kinea Deb Incentivadas (XP, BTG, Itaú/Íon, Safra)</t>
  </si>
  <si>
    <t>Forpus Ações FIC FIF Ações RL (XP, BTG, Genial)</t>
  </si>
  <si>
    <t>Real Investor FIC FIF Ações RL (XP, BTG, Icatu — tem versões para investidor geral e qualificado)</t>
  </si>
  <si>
    <t>Visão</t>
  </si>
  <si>
    <t>Oceano</t>
  </si>
  <si>
    <t>Nível</t>
  </si>
  <si>
    <t>Percentual</t>
  </si>
  <si>
    <t>Carteira oficial</t>
  </si>
  <si>
    <t>Tesouro Selic / Fundo Simples</t>
  </si>
  <si>
    <t>ARX Fuji</t>
  </si>
  <si>
    <t>Abrigo Light</t>
  </si>
  <si>
    <t>BNP Paribas Rubi</t>
  </si>
  <si>
    <t>Ibiuna Credit</t>
  </si>
  <si>
    <t>Atlas</t>
  </si>
  <si>
    <t>Dahlia Total Return</t>
  </si>
  <si>
    <t>Ritmo Light</t>
  </si>
  <si>
    <t>Hix Capital HS FIA</t>
  </si>
  <si>
    <t>Kinea Debêntures Incentivadas</t>
  </si>
  <si>
    <t>Fundo de Ações RL / confirmar nome</t>
  </si>
  <si>
    <t>Visão Light</t>
  </si>
  <si>
    <t>Oceano Light</t>
  </si>
  <si>
    <t xml:space="preserve">Reserva de Emergência </t>
  </si>
  <si>
    <t>Calculadora</t>
  </si>
  <si>
    <t xml:space="preserve">Média </t>
  </si>
  <si>
    <t>CDI</t>
  </si>
  <si>
    <t>% do CDI</t>
  </si>
  <si>
    <t>Abrigo Ano</t>
  </si>
  <si>
    <t>12 meses</t>
  </si>
  <si>
    <t>24 meses</t>
  </si>
  <si>
    <t>36 meses</t>
  </si>
  <si>
    <t>Ritmo</t>
  </si>
  <si>
    <t xml:space="preserve">Visão </t>
  </si>
  <si>
    <t>Abrigo Light (10k)</t>
  </si>
  <si>
    <t>Ritmo Light (10k)</t>
  </si>
  <si>
    <t>Valora Guardian A (XP, BTG, Órama) (IQ)</t>
  </si>
  <si>
    <t>Capitânia Yield 120 (XP, BTG, Safra) (IQ)</t>
  </si>
  <si>
    <t>JGP Ecossistema (XP, BTG, Safra, Genial) (IQ)</t>
  </si>
  <si>
    <t>Truxt Long Bias (XP, BTG, Vitreo, Guide, Safra) (IQ)</t>
  </si>
  <si>
    <t>SPX Falcon (XP, BTG, Safra, Itaú, Inter) (IQ)</t>
  </si>
  <si>
    <t>Augme 180 FIF (XP, BTG, Genial, Warren, Órama, Inter, Safra) (IQ)</t>
  </si>
  <si>
    <t>Dynamo Cougar (XP, BTG, Vitreo, Guide — captação frequentemente encerrada) (IQ)</t>
  </si>
  <si>
    <t>Abrigo Light IQ</t>
  </si>
  <si>
    <t>Valora Guardian A</t>
  </si>
  <si>
    <t>ARX Hedge Infra</t>
  </si>
  <si>
    <t>Ritmo Light IQ</t>
  </si>
  <si>
    <t>Kinea Oportunidade FIF</t>
  </si>
  <si>
    <t>Long Bias</t>
  </si>
  <si>
    <t>Visão Light IQ</t>
  </si>
  <si>
    <t>Oceano Light IQ</t>
  </si>
  <si>
    <t>Kinea Oportunidade FIF (Bradesco, Santander, Itaú/Íon, XP) (IQ)</t>
  </si>
  <si>
    <t>Data</t>
  </si>
  <si>
    <t>Média</t>
  </si>
  <si>
    <t>Média 12</t>
  </si>
  <si>
    <t>Média 24</t>
  </si>
  <si>
    <t>Média 36</t>
  </si>
  <si>
    <t>Média 12 CDI</t>
  </si>
  <si>
    <t>Média 24 CDI</t>
  </si>
  <si>
    <t>Média 36 CDI</t>
  </si>
  <si>
    <t>Classe</t>
  </si>
  <si>
    <t>IQ/Geral</t>
  </si>
  <si>
    <t>Minimo</t>
  </si>
  <si>
    <t>Benchmark</t>
  </si>
  <si>
    <t>Geral</t>
  </si>
  <si>
    <t xml:space="preserve"> R$                          -  </t>
  </si>
  <si>
    <t>IPCA</t>
  </si>
  <si>
    <t>SELIC</t>
  </si>
  <si>
    <t>IBOV</t>
  </si>
  <si>
    <t>Dolar</t>
  </si>
  <si>
    <t>Zaga</t>
  </si>
  <si>
    <t>IQ</t>
  </si>
  <si>
    <t>Valora Guardian B (XP, BTG) (IQ)</t>
  </si>
  <si>
    <t>Valora Guardian II (XP, BTG, Órama) (IQ)</t>
  </si>
  <si>
    <t>Sparta Deb Inc FIC Incentivados (XP, BTG, Itaú/Íon, Safra)</t>
  </si>
  <si>
    <t>JGP Corporate FIC FIF RF CP LP RL (XP, BTG, Safra)</t>
  </si>
  <si>
    <t>SPX Seahawk Crédito Privado FIC FIRF CP LP (XP, BTG)</t>
  </si>
  <si>
    <t>Kinea Oportunidade FIM (Itaú/Íon, Bradesco, XP, BTG) (IQ)</t>
  </si>
  <si>
    <t>MAPFRE RF FIF (XP, BTG, MAPFRE direto)</t>
  </si>
  <si>
    <t>Augme 30 CIC (XP, BTG, Genial, Warren, Órama, Inter, Safra)</t>
  </si>
  <si>
    <t>Capitânia Premium 45 (XP, BTG, Safra, Genial)</t>
  </si>
  <si>
    <t>Capitânia Radar 90 (XP, BTG, Safra, Genial) (IQ)</t>
  </si>
  <si>
    <t>JGP Select Premium (XP, BTG, Safra, Genial) (PROFISSIONAL)</t>
  </si>
  <si>
    <t>Profissional</t>
  </si>
  <si>
    <t>Genoa Capital Radar (XP, BTG, Safra, Bradesco)</t>
  </si>
  <si>
    <t>Legacy Compound (XP, BTG, Genial) (IQ)</t>
  </si>
  <si>
    <t>Bahia AM DI (XP, BTG, Safra, Genial)</t>
  </si>
  <si>
    <t>Kinea Deb Incentivadas (Itaú/Íon, XP, BTG, Santander, Warren)</t>
  </si>
  <si>
    <t>Itaú Deb Incentivadas (Itaú/Íon)</t>
  </si>
  <si>
    <t>Trend Pré Fixado (XP, Órama)</t>
  </si>
  <si>
    <t>Gavea Macro (XP, BTG, Safra, Itaú)</t>
  </si>
  <si>
    <t>Meio</t>
  </si>
  <si>
    <t>Gavea Macro Plus (XP, BTG, Safra) (IQ)</t>
  </si>
  <si>
    <t>Ibiuna Hedge ST (XP, BTG, Safra, Inter)</t>
  </si>
  <si>
    <t>Kapitalo Kappa (XP, BTG, Itaú/Íon, Santander, Banco do Brasil — classe padrão GERAL; classe Advisory = IQ)</t>
  </si>
  <si>
    <t>Kapitalo Zeta (XP, BTG, Safra, Genial, Inter) (IQ)</t>
  </si>
  <si>
    <t>Kinea Atlas (Itaú/Íon, XP, BTG, Inter, Santander, Warren)</t>
  </si>
  <si>
    <t>Mar Absoluto (XP, BTG, Safra, Genial)</t>
  </si>
  <si>
    <t>SPX Nimitz (XP, BTG, Itaú/Íon, Safra) (IQ)</t>
  </si>
  <si>
    <t>SPX Raptor (XP, BTG, Inter) (IQ)</t>
  </si>
  <si>
    <t>Legacy V10 (XP, BTG, Genial) (IQ)</t>
  </si>
  <si>
    <t>Verde AM X60 (XP, BTG — captação frequentemente encerrada)</t>
  </si>
  <si>
    <t>Vista Multiestratégia (XP, Safra) (IQ — versão FIF Cotas)</t>
  </si>
  <si>
    <t>Vista Hedge (XP, BTG, Safra)</t>
  </si>
  <si>
    <t>Dahlia Total Return (XP, BTG, Genial, Inter)</t>
  </si>
  <si>
    <t>Encore Long Bias (XP, BTG, Genial)</t>
  </si>
  <si>
    <t>Atmos Ações (XP, BTG, Safra, Genial) (PROFISSIONAL) - fechado</t>
  </si>
  <si>
    <t>Ataque</t>
  </si>
  <si>
    <t>Bogari Value (XP, BTG, Órama, Genial) (IQ)</t>
  </si>
  <si>
    <t>Bogari Value Q FIC FIF Ações RL (XP, BTG, Órama) (IQ)</t>
  </si>
  <si>
    <t>Brasil Capital (XP, BTG, Safra, Genial)</t>
  </si>
  <si>
    <t>Hix Capital FIC FIA (XP, BTG, Safra, Genial) (IQ)</t>
  </si>
  <si>
    <t>Hix Capital HS FIA (XP, BTG) /HIX Capital Institucional FIF</t>
  </si>
  <si>
    <t>Real Investor FIC FIF Ações RL (XP, BTG, Icatu)</t>
  </si>
  <si>
    <t>IP Participações FIC FIF Ações RL (XP)</t>
  </si>
  <si>
    <t>Alaska Black FIF Cotas FIA (XP, BTG, Safra, Genial, Inter) (IQ)</t>
  </si>
  <si>
    <t>Vinci Partners FIF Cotas FIA (XP, BTG, Genial) (IQ)</t>
  </si>
  <si>
    <t>Benchmarks</t>
  </si>
  <si>
    <t>RF / Crédito</t>
  </si>
  <si>
    <t>Multimercado</t>
  </si>
  <si>
    <t>Ações</t>
  </si>
  <si>
    <t>Internacional (ETF)</t>
  </si>
  <si>
    <t>Ordem</t>
  </si>
  <si>
    <t>VALORA GUARDIAN ADVISORY FIDC – RL</t>
  </si>
  <si>
    <t>Sparta Deb Inc FIC Incentivados</t>
  </si>
  <si>
    <t>JGP Corporate</t>
  </si>
  <si>
    <t>SPX Seahawk Credito Privado</t>
  </si>
  <si>
    <t>Kinea Oportunidade FIM</t>
  </si>
  <si>
    <t>MAPFRE RF FIF</t>
  </si>
  <si>
    <t>Augme 30 CIC</t>
  </si>
  <si>
    <t>Augme 180 FIF</t>
  </si>
  <si>
    <t>Capitania Premium 45</t>
  </si>
  <si>
    <t>Capitania Radar 90</t>
  </si>
  <si>
    <t>Capitania Yield 120</t>
  </si>
  <si>
    <t>JGP Select Premium</t>
  </si>
  <si>
    <t>Genoa Capital Radar</t>
  </si>
  <si>
    <t>Legacy Compound</t>
  </si>
  <si>
    <t>Bahia AM DI</t>
  </si>
  <si>
    <t>Kinea Deb Incentivadas</t>
  </si>
  <si>
    <t>Itau Deb Incentivadas</t>
  </si>
  <si>
    <t>Trend Pre Fixado</t>
  </si>
  <si>
    <t>JGP Ecossistema</t>
  </si>
  <si>
    <t>Gavea Macro</t>
  </si>
  <si>
    <t>Gavea Macro Plus</t>
  </si>
  <si>
    <t>Ibiuna Hedge ST</t>
  </si>
  <si>
    <t>Kapitalo Kappa</t>
  </si>
  <si>
    <t>Kapitalo Zeta</t>
  </si>
  <si>
    <t>Kinea Atlas</t>
  </si>
  <si>
    <t>Mar Absoluto</t>
  </si>
  <si>
    <t>SPX Nimitz</t>
  </si>
  <si>
    <t>SPX Raptor</t>
  </si>
  <si>
    <t>Legacy V10</t>
  </si>
  <si>
    <t>Verde AM X60</t>
  </si>
  <si>
    <t>Vista Multiestrategia</t>
  </si>
  <si>
    <t>Vista Hedge</t>
  </si>
  <si>
    <t>Encore Long Bias</t>
  </si>
  <si>
    <t>Truxt Long Bias</t>
  </si>
  <si>
    <t>Atmos Acoes</t>
  </si>
  <si>
    <t>Bogari Value</t>
  </si>
  <si>
    <t>Bogari Value Q FIC FIF Acoes RL</t>
  </si>
  <si>
    <t>Brasil Capital Institucional 30 FIC FIF Acoes RL</t>
  </si>
  <si>
    <t>Dynamo Cougar</t>
  </si>
  <si>
    <t>Hix Capital FIC FIA</t>
  </si>
  <si>
    <t>Forpus Acoes FIC FIF Acoes RL</t>
  </si>
  <si>
    <t>Real Investor FIC FIF Acoes RL</t>
  </si>
  <si>
    <t>IP Participacoes FIC FIF Acoes RL</t>
  </si>
  <si>
    <t>Alaska Black FIF Cotas FIA</t>
  </si>
  <si>
    <t>Velt Partners FIF Cotas FIA</t>
  </si>
  <si>
    <t>SPX Falcon</t>
  </si>
  <si>
    <t>Sim</t>
  </si>
  <si>
    <t>Não</t>
  </si>
  <si>
    <t xml:space="preserve">Não </t>
  </si>
  <si>
    <t>Valora Guardian Advisory</t>
  </si>
  <si>
    <t>CDBI11</t>
  </si>
  <si>
    <t xml:space="preserve">WRLD11 </t>
  </si>
  <si>
    <t xml:space="preserve">NASD11 </t>
  </si>
  <si>
    <t xml:space="preserve">IVVB11 </t>
  </si>
  <si>
    <t>Risco</t>
  </si>
  <si>
    <t>ARX Fuji FIC de FIF RF CP RL</t>
  </si>
  <si>
    <t>Validador</t>
  </si>
  <si>
    <t>DIVO11</t>
  </si>
  <si>
    <t xml:space="preserve"> </t>
  </si>
  <si>
    <t>Ativo</t>
  </si>
  <si>
    <t>NASD11</t>
  </si>
  <si>
    <t>IVVB11</t>
  </si>
  <si>
    <t>WRLD11</t>
  </si>
  <si>
    <t>WELLINGTON VENTURA ADVISORY</t>
  </si>
  <si>
    <t>Nome da carteira</t>
  </si>
  <si>
    <t>Porcentagem na carteira</t>
  </si>
  <si>
    <t>Geral | Máximo Histórico | Reserva (100% Conservador) | R$30 mil</t>
  </si>
  <si>
    <t>Geral | Máximo Histórico | 90% Conservador | R$30 mil</t>
  </si>
  <si>
    <t>Geral | Máximo Histórico | Abrigo | R$30 mil</t>
  </si>
  <si>
    <t>Geral | Máximo Histórico | Abrigo-Ritmo | R$30 mil</t>
  </si>
  <si>
    <t>Geral | Máximo Histórico | Ritmo-Visão | R$30 mil</t>
  </si>
  <si>
    <t>Geral | Robustez 360 | Ritmo | R$30 mil</t>
  </si>
  <si>
    <t>Wellington Ventura Advisory</t>
  </si>
  <si>
    <t>Geral | Robustez 360 | Visão | R$30 mil</t>
  </si>
  <si>
    <t>Geral | Robustez 360 | Visão-Oceano | R$30 mil</t>
  </si>
  <si>
    <t>Geral | Robustez 360 | Oceano | R$30 mil</t>
  </si>
  <si>
    <t>Geral | Máximo Histórico | 90% Conservador | R$100 mil</t>
  </si>
  <si>
    <t>Geral | Robustez 360 | Reserva (100% Conservador) | R$100 mil</t>
  </si>
  <si>
    <t>Geral | Robustez 360 | Abrigo | R$100 mil</t>
  </si>
  <si>
    <t>Geral | Robustez 360 | Abrigo-Ritmo | R$100 mil</t>
  </si>
  <si>
    <t>Geral | Robustez 360 | Ritmo | R$100 mil</t>
  </si>
  <si>
    <t>Geral | Robustez 360 | Ritmo-Visão | R$100 mil</t>
  </si>
  <si>
    <t>Geral | Robustez 360 | Visão | R$100 mil</t>
  </si>
  <si>
    <t>Geral | Robustez 360 | Visão-Oceano | R$100 mil</t>
  </si>
  <si>
    <t>Geral | Robustez 360 | Oceano | R$100 mil</t>
  </si>
  <si>
    <t>IQ | Máximo Histórico | Reserva (100% Conservador) | R$100 mil</t>
  </si>
  <si>
    <t>IQ | Máximo Histórico | 90% Conservador | R$100 mil</t>
  </si>
  <si>
    <t>IQ | Máximo Histórico | Abrigo | R$100 mil</t>
  </si>
  <si>
    <t>IQ | Máximo Histórico | Abrigo-Ritmo | R$100 mil</t>
  </si>
  <si>
    <t>IQ | Máximo Histórico | Ritmo | R$100 mil</t>
  </si>
  <si>
    <t>IQ | Máximo Histórico | Ritmo-Visão | R$100 mil</t>
  </si>
  <si>
    <t>IQ | Máximo Histórico | Visão | R$100 mil</t>
  </si>
  <si>
    <t>IQ | Máximo Histórico | Visão-Oceano | R$100 mil</t>
  </si>
  <si>
    <t>IQ | Máximo Histórico | Oceano | R$100 mil</t>
  </si>
  <si>
    <t>IQ | Robustez 360 | Reserva (100% Conservador) | R$100 mil</t>
  </si>
  <si>
    <t>IQ | Robustez 360 | 90% Conservador | R$100 mil</t>
  </si>
  <si>
    <t>IQ | Robustez 360 | Abrigo | R$100 mil</t>
  </si>
  <si>
    <t>IQ | Robustez 360 | Abrigo-Ritmo | R$100 mil</t>
  </si>
  <si>
    <t>IQ | Robustez 360 | Ritmo | R$100 mil</t>
  </si>
  <si>
    <t>IQ | Robustez 360 | Ritmo-Visão | R$100 mil</t>
  </si>
  <si>
    <t>IQ | Robustez 360 | Visão | R$100 mil</t>
  </si>
  <si>
    <t>IQ | Robustez 360 | Visão-Oceano | R$100 mil</t>
  </si>
  <si>
    <t>IQ | Robustez 360 | Oceano | R$100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</si>
</sst>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;[Red]&quot;-R$ &quot;#,##0.00"/>
    <numFmt numFmtId="165" formatCode="_-&quot;R$ &quot;* #,##0.00_-;&quot;-R$ &quot;* #,##0.00_-;_-&quot;R$ &quot;* \-??_-;_-@_-"/>
    <numFmt numFmtId="166" formatCode="mmm\-yy"/>
  </numFmts>
  <fonts count="16" x14ac:knownFonts="1">
    <font>
      <sz val="12"/>
      <color theme="1"/>
      <name val="Aptos Narrow"/>
      <family val="2"/>
      <charset val="1"/>
    </font>
    <font>
      <sz val="10"/>
      <name val="Arial"/>
      <family val="2"/>
    </font>
    <font>
      <b/>
      <sz val="8"/>
      <color rgb="FFFFFFFF"/>
      <name val="Arial"/>
      <family val="2"/>
      <charset val="1"/>
    </font>
    <font>
      <sz val="11"/>
      <color rgb="FF000000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i/>
      <sz val="11"/>
      <color rgb="FF1F1F1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9"/>
      <name val="Arial"/>
      <family val="2"/>
      <charset val="1"/>
    </font>
    <font>
      <sz val="12"/>
      <color theme="0"/>
      <name val="Aptos Narrow"/>
      <family val="2"/>
      <charset val="1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sz val="12"/>
      <color rgb="FF000000"/>
      <name val="Aptos Narrow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4BACC6"/>
        <bgColor rgb="FF4AACC6"/>
      </patternFill>
    </fill>
    <fill>
      <patternFill patternType="solid">
        <fgColor rgb="FF4AACC6"/>
        <bgColor rgb="FF4BACC6"/>
      </patternFill>
    </fill>
    <fill>
      <patternFill patternType="solid">
        <fgColor rgb="FF9BBB59"/>
        <bgColor rgb="FF969696"/>
      </patternFill>
    </fill>
    <fill>
      <patternFill patternType="solid">
        <fgColor rgb="FFC0504D"/>
        <bgColor rgb="FF993366"/>
      </patternFill>
    </fill>
    <fill>
      <patternFill patternType="solid">
        <fgColor rgb="FF404040"/>
        <bgColor rgb="FF1F497D"/>
      </patternFill>
    </fill>
    <fill>
      <patternFill patternType="solid">
        <fgColor rgb="FF1F497D"/>
        <bgColor rgb="FF215F9A"/>
      </patternFill>
    </fill>
    <fill>
      <patternFill patternType="solid">
        <fgColor rgb="FFF2F2F2"/>
        <bgColor rgb="FFF9F9F9"/>
      </patternFill>
    </fill>
    <fill>
      <patternFill patternType="solid">
        <fgColor rgb="FFF9F9F9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002060"/>
        <bgColor rgb="FF000080"/>
      </patternFill>
    </fill>
    <fill>
      <patternFill patternType="solid">
        <fgColor theme="3" tint="0.24988555558946501"/>
        <bgColor rgb="FF1F497D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0" fillId="0" borderId="0" xfId="0" applyNumberFormat="1"/>
    <xf numFmtId="9" fontId="3" fillId="0" borderId="0" xfId="0" applyNumberFormat="1" applyFont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0" fillId="0" borderId="0" xfId="0" applyNumberFormat="1"/>
    <xf numFmtId="0" fontId="3" fillId="0" borderId="0" xfId="0" applyFont="1"/>
    <xf numFmtId="10" fontId="0" fillId="0" borderId="0" xfId="0" applyNumberFormat="1"/>
    <xf numFmtId="10" fontId="3" fillId="0" borderId="0" xfId="0" applyNumberFormat="1" applyFont="1"/>
    <xf numFmtId="0" fontId="2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/>
    <xf numFmtId="10" fontId="6" fillId="0" borderId="0" xfId="0" applyNumberFormat="1" applyFont="1"/>
    <xf numFmtId="0" fontId="7" fillId="0" borderId="0" xfId="0" applyFont="1"/>
    <xf numFmtId="164" fontId="5" fillId="0" borderId="0" xfId="0" applyNumberFormat="1" applyFont="1"/>
    <xf numFmtId="9" fontId="5" fillId="0" borderId="0" xfId="0" applyNumberFormat="1" applyFont="1"/>
    <xf numFmtId="0" fontId="8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65" fontId="3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166" fontId="10" fillId="8" borderId="0" xfId="0" applyNumberFormat="1" applyFont="1" applyFill="1" applyAlignment="1">
      <alignment horizontal="center"/>
    </xf>
    <xf numFmtId="10" fontId="10" fillId="9" borderId="0" xfId="0" applyNumberFormat="1" applyFont="1" applyFill="1"/>
    <xf numFmtId="10" fontId="10" fillId="10" borderId="0" xfId="0" applyNumberFormat="1" applyFont="1" applyFill="1"/>
    <xf numFmtId="10" fontId="10" fillId="11" borderId="0" xfId="0" applyNumberFormat="1" applyFont="1" applyFill="1"/>
    <xf numFmtId="10" fontId="0" fillId="10" borderId="0" xfId="0" applyNumberFormat="1" applyFill="1"/>
    <xf numFmtId="165" fontId="0" fillId="0" borderId="0" xfId="0" applyNumberFormat="1"/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3" fillId="0" borderId="0" xfId="0" applyFont="1"/>
    <xf numFmtId="0" fontId="14" fillId="12" borderId="0" xfId="0" applyFont="1" applyFill="1" applyAlignment="1">
      <alignment horizontal="center" vertical="center"/>
    </xf>
    <xf numFmtId="0" fontId="14" fillId="13" borderId="0" xfId="0" applyFont="1" applyFill="1" applyAlignment="1">
      <alignment horizontal="center" vertical="center"/>
    </xf>
    <xf numFmtId="0" fontId="0" fillId="14" borderId="0" xfId="0" applyFill="1"/>
    <xf numFmtId="10" fontId="1" fillId="0" borderId="0" xfId="1" applyNumberFormat="1"/>
    <xf numFmtId="0" fontId="3" fillId="14" borderId="0" xfId="0" applyFont="1" applyFill="1"/>
    <xf numFmtId="0" fontId="9" fillId="7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9" fontId="1" fillId="0" borderId="0" xfId="1"/>
    <xf numFmtId="10" fontId="13" fillId="0" borderId="0" xfId="0" applyNumberFormat="1" applyFont="1"/>
    <xf numFmtId="0" fontId="0" fillId="15" borderId="0" xfId="0" applyFill="1"/>
    <xf numFmtId="0" fontId="15" fillId="0" borderId="0" xfId="0" applyFont="1"/>
    <xf numFmtId="9" fontId="1" fillId="0" borderId="0" xfId="0" applyNumberFormat="1" applyFont="1"/>
  </cellXfs>
  <cellStyles count="2">
    <cellStyle name="Normal" xfId="0" builtinId="0"/>
    <cellStyle name="Porcentagem" xfId="1" builtinId="5"/>
  </cellStyles>
  <dxfs count="4">
    <dxf>
      <font>
        <b/>
        <color rgb="FFB3261E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b/>
        <color rgb="FFB3261E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0504D"/>
      <rgbColor rgb="FFF9F9F9"/>
      <rgbColor rgb="FFF2F2F2"/>
      <rgbColor rgb="FF660066"/>
      <rgbColor rgb="FFFF8080"/>
      <rgbColor rgb="FF215F9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AACC6"/>
      <rgbColor rgb="FF9BBB59"/>
      <rgbColor rgb="FFFFCC00"/>
      <rgbColor rgb="FFFF9900"/>
      <rgbColor rgb="FFFF6600"/>
      <rgbColor rgb="FF666699"/>
      <rgbColor rgb="FF969696"/>
      <rgbColor rgb="FF002060"/>
      <rgbColor rgb="FF4BACC6"/>
      <rgbColor rgb="FF003300"/>
      <rgbColor rgb="FF1F1F1F"/>
      <rgbColor rgb="FF993300"/>
      <rgbColor rgb="FF993366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"/>
  <sheetViews>
    <sheetView zoomScaleNormal="100" workbookViewId="0">
      <selection sqref="A1:D72"/>
    </sheetView>
  </sheetViews>
  <sheetFormatPr baseColWidth="10" defaultColWidth="10.5" defaultRowHeight="15.75" customHeight="1" x14ac:dyDescent="0.2"/>
  <cols>
    <col min="1" max="1" width="28.5" customWidth="1"/>
    <col min="8" max="8" width="14.83203125" customWidth="1"/>
  </cols>
  <sheetData>
    <row r="1" spans="1:4" ht="15.7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4" ht="15.75" customHeight="1" x14ac:dyDescent="0.2">
      <c r="A2" s="1" t="s">
        <v>4</v>
      </c>
      <c r="B2">
        <v>1</v>
      </c>
      <c r="C2" s="2">
        <v>1</v>
      </c>
      <c r="D2" t="s">
        <v>5</v>
      </c>
    </row>
    <row r="3" spans="1:4" ht="15.75" customHeight="1" x14ac:dyDescent="0.2">
      <c r="A3" s="1" t="s">
        <v>6</v>
      </c>
      <c r="B3">
        <v>2</v>
      </c>
      <c r="C3" s="3">
        <v>0.9</v>
      </c>
    </row>
    <row r="4" spans="1:4" ht="15.75" customHeight="1" x14ac:dyDescent="0.2">
      <c r="A4" s="1" t="s">
        <v>7</v>
      </c>
      <c r="B4">
        <v>2</v>
      </c>
      <c r="C4" s="3">
        <v>0.02</v>
      </c>
    </row>
    <row r="5" spans="1:4" ht="15.75" customHeight="1" x14ac:dyDescent="0.2">
      <c r="A5" s="1" t="s">
        <v>8</v>
      </c>
      <c r="B5">
        <v>2</v>
      </c>
      <c r="C5" s="3">
        <v>0.02</v>
      </c>
    </row>
    <row r="6" spans="1:4" ht="15.75" customHeight="1" x14ac:dyDescent="0.2">
      <c r="A6" s="1" t="s">
        <v>9</v>
      </c>
      <c r="B6">
        <v>2</v>
      </c>
      <c r="C6" s="3">
        <v>0.02</v>
      </c>
    </row>
    <row r="7" spans="1:4" ht="15.75" customHeight="1" x14ac:dyDescent="0.2">
      <c r="A7" s="4" t="s">
        <v>10</v>
      </c>
      <c r="B7">
        <v>2</v>
      </c>
      <c r="C7" s="3">
        <v>0.04</v>
      </c>
    </row>
    <row r="8" spans="1:4" ht="15.75" customHeight="1" x14ac:dyDescent="0.2">
      <c r="A8" s="1" t="s">
        <v>6</v>
      </c>
      <c r="B8">
        <v>3</v>
      </c>
      <c r="C8" s="3">
        <v>0.8</v>
      </c>
      <c r="D8" t="s">
        <v>11</v>
      </c>
    </row>
    <row r="9" spans="1:4" ht="15.75" customHeight="1" x14ac:dyDescent="0.2">
      <c r="A9" s="1" t="s">
        <v>7</v>
      </c>
      <c r="B9">
        <v>3</v>
      </c>
      <c r="C9" s="3">
        <v>0.03</v>
      </c>
      <c r="D9" t="s">
        <v>11</v>
      </c>
    </row>
    <row r="10" spans="1:4" ht="15.75" customHeight="1" x14ac:dyDescent="0.2">
      <c r="A10" s="1" t="s">
        <v>8</v>
      </c>
      <c r="B10">
        <v>3</v>
      </c>
      <c r="C10" s="3">
        <v>0.05</v>
      </c>
      <c r="D10" t="s">
        <v>11</v>
      </c>
    </row>
    <row r="11" spans="1:4" ht="15.75" customHeight="1" x14ac:dyDescent="0.2">
      <c r="A11" s="1" t="s">
        <v>9</v>
      </c>
      <c r="B11">
        <v>3</v>
      </c>
      <c r="C11" s="3">
        <v>0.05</v>
      </c>
      <c r="D11" t="s">
        <v>11</v>
      </c>
    </row>
    <row r="12" spans="1:4" ht="15.75" customHeight="1" x14ac:dyDescent="0.2">
      <c r="A12" s="4" t="s">
        <v>10</v>
      </c>
      <c r="B12">
        <v>3</v>
      </c>
      <c r="C12" s="3">
        <v>7.0000000000000007E-2</v>
      </c>
      <c r="D12" t="s">
        <v>11</v>
      </c>
    </row>
    <row r="13" spans="1:4" ht="15.75" customHeight="1" x14ac:dyDescent="0.2">
      <c r="A13" s="1" t="s">
        <v>6</v>
      </c>
      <c r="B13">
        <v>4</v>
      </c>
      <c r="C13" s="3">
        <v>0.65</v>
      </c>
    </row>
    <row r="14" spans="1:4" ht="15.75" customHeight="1" x14ac:dyDescent="0.2">
      <c r="A14" s="1" t="s">
        <v>7</v>
      </c>
      <c r="B14">
        <v>4</v>
      </c>
      <c r="C14" s="3">
        <v>0.05</v>
      </c>
    </row>
    <row r="15" spans="1:4" ht="15.75" customHeight="1" x14ac:dyDescent="0.2">
      <c r="A15" s="1" t="s">
        <v>8</v>
      </c>
      <c r="B15">
        <v>4</v>
      </c>
      <c r="C15" s="3">
        <v>0.05</v>
      </c>
    </row>
    <row r="16" spans="1:4" ht="15.75" customHeight="1" x14ac:dyDescent="0.2">
      <c r="A16" s="1" t="s">
        <v>9</v>
      </c>
      <c r="B16">
        <v>4</v>
      </c>
      <c r="C16" s="3">
        <v>0.05</v>
      </c>
    </row>
    <row r="17" spans="1:8" ht="15.75" customHeight="1" x14ac:dyDescent="0.2">
      <c r="A17" s="4" t="s">
        <v>10</v>
      </c>
      <c r="B17">
        <v>4</v>
      </c>
      <c r="C17" s="3">
        <v>0.06</v>
      </c>
    </row>
    <row r="18" spans="1:8" ht="15.75" customHeight="1" x14ac:dyDescent="0.2">
      <c r="A18" s="5" t="s">
        <v>12</v>
      </c>
      <c r="B18">
        <v>4</v>
      </c>
      <c r="C18" s="3">
        <v>0.04</v>
      </c>
    </row>
    <row r="19" spans="1:8" ht="15.75" customHeight="1" x14ac:dyDescent="0.2">
      <c r="A19" s="5" t="s">
        <v>13</v>
      </c>
      <c r="B19">
        <v>4</v>
      </c>
      <c r="C19" s="3">
        <v>0.05</v>
      </c>
    </row>
    <row r="20" spans="1:8" ht="15.75" customHeight="1" x14ac:dyDescent="0.2">
      <c r="A20" s="6" t="s">
        <v>14</v>
      </c>
      <c r="B20">
        <v>4</v>
      </c>
      <c r="C20" s="3">
        <v>0.05</v>
      </c>
    </row>
    <row r="21" spans="1:8" ht="15.75" customHeight="1" x14ac:dyDescent="0.2">
      <c r="A21" s="1" t="s">
        <v>6</v>
      </c>
      <c r="B21">
        <v>5</v>
      </c>
      <c r="C21" s="3">
        <v>0.5</v>
      </c>
      <c r="D21" t="s">
        <v>15</v>
      </c>
    </row>
    <row r="22" spans="1:8" ht="15.75" customHeight="1" x14ac:dyDescent="0.2">
      <c r="A22" s="1" t="s">
        <v>7</v>
      </c>
      <c r="B22">
        <v>5</v>
      </c>
      <c r="C22" s="3">
        <v>0.04</v>
      </c>
      <c r="D22" t="s">
        <v>15</v>
      </c>
    </row>
    <row r="23" spans="1:8" ht="15.75" customHeight="1" x14ac:dyDescent="0.2">
      <c r="A23" s="1" t="s">
        <v>8</v>
      </c>
      <c r="B23">
        <v>5</v>
      </c>
      <c r="C23" s="3">
        <v>0.08</v>
      </c>
      <c r="D23" t="s">
        <v>15</v>
      </c>
    </row>
    <row r="24" spans="1:8" ht="15.75" customHeight="1" x14ac:dyDescent="0.2">
      <c r="A24" s="1" t="s">
        <v>9</v>
      </c>
      <c r="B24">
        <v>5</v>
      </c>
      <c r="C24" s="3">
        <v>7.0000000000000007E-2</v>
      </c>
      <c r="D24" t="s">
        <v>15</v>
      </c>
    </row>
    <row r="25" spans="1:8" ht="15.75" customHeight="1" x14ac:dyDescent="0.2">
      <c r="A25" s="4" t="s">
        <v>10</v>
      </c>
      <c r="B25">
        <v>5</v>
      </c>
      <c r="C25" s="3">
        <v>0.09</v>
      </c>
      <c r="D25" t="s">
        <v>15</v>
      </c>
    </row>
    <row r="26" spans="1:8" ht="15.75" customHeight="1" x14ac:dyDescent="0.2">
      <c r="A26" s="5" t="s">
        <v>12</v>
      </c>
      <c r="B26">
        <v>5</v>
      </c>
      <c r="C26" s="3">
        <v>0.06</v>
      </c>
      <c r="D26" t="s">
        <v>15</v>
      </c>
    </row>
    <row r="27" spans="1:8" ht="15.75" customHeight="1" x14ac:dyDescent="0.2">
      <c r="A27" s="5" t="s">
        <v>13</v>
      </c>
      <c r="B27">
        <v>5</v>
      </c>
      <c r="C27" s="3">
        <v>0.08</v>
      </c>
      <c r="D27" t="s">
        <v>15</v>
      </c>
    </row>
    <row r="28" spans="1:8" ht="15.75" customHeight="1" x14ac:dyDescent="0.2">
      <c r="A28" s="6" t="s">
        <v>14</v>
      </c>
      <c r="B28">
        <v>5</v>
      </c>
      <c r="C28" s="3">
        <v>0.08</v>
      </c>
      <c r="D28" t="s">
        <v>15</v>
      </c>
    </row>
    <row r="29" spans="1:8" ht="15.75" customHeight="1" x14ac:dyDescent="0.2">
      <c r="A29" s="1" t="s">
        <v>6</v>
      </c>
      <c r="B29">
        <v>6</v>
      </c>
      <c r="C29" s="3">
        <v>0.38</v>
      </c>
    </row>
    <row r="30" spans="1:8" ht="15.75" customHeight="1" x14ac:dyDescent="0.2">
      <c r="A30" s="1" t="s">
        <v>7</v>
      </c>
      <c r="B30">
        <v>6</v>
      </c>
      <c r="C30" s="3">
        <v>0.05</v>
      </c>
    </row>
    <row r="31" spans="1:8" ht="15.75" customHeight="1" x14ac:dyDescent="0.2">
      <c r="A31" s="1" t="s">
        <v>16</v>
      </c>
      <c r="B31">
        <v>6</v>
      </c>
      <c r="C31" s="3">
        <v>0.06</v>
      </c>
    </row>
    <row r="32" spans="1:8" ht="15.75" customHeight="1" x14ac:dyDescent="0.2">
      <c r="A32" s="1" t="s">
        <v>8</v>
      </c>
      <c r="B32">
        <v>6</v>
      </c>
      <c r="C32" s="3">
        <v>7.0000000000000007E-2</v>
      </c>
      <c r="H32" s="7"/>
    </row>
    <row r="33" spans="1:4" ht="15.75" customHeight="1" x14ac:dyDescent="0.2">
      <c r="A33" s="1" t="s">
        <v>9</v>
      </c>
      <c r="B33">
        <v>6</v>
      </c>
      <c r="C33" s="3">
        <v>7.0000000000000007E-2</v>
      </c>
    </row>
    <row r="34" spans="1:4" ht="15.75" customHeight="1" x14ac:dyDescent="0.2">
      <c r="A34" s="4" t="s">
        <v>10</v>
      </c>
      <c r="B34">
        <v>6</v>
      </c>
      <c r="C34" s="3">
        <v>7.0000000000000007E-2</v>
      </c>
    </row>
    <row r="35" spans="1:4" ht="15.75" customHeight="1" x14ac:dyDescent="0.2">
      <c r="A35" s="5" t="s">
        <v>12</v>
      </c>
      <c r="B35">
        <v>6</v>
      </c>
      <c r="C35" s="3">
        <v>0.06</v>
      </c>
    </row>
    <row r="36" spans="1:4" ht="15.75" customHeight="1" x14ac:dyDescent="0.2">
      <c r="A36" s="5" t="s">
        <v>13</v>
      </c>
      <c r="B36">
        <v>6</v>
      </c>
      <c r="C36" s="3">
        <v>0.06</v>
      </c>
    </row>
    <row r="37" spans="1:4" ht="15.75" customHeight="1" x14ac:dyDescent="0.2">
      <c r="A37" s="6" t="s">
        <v>14</v>
      </c>
      <c r="B37">
        <v>6</v>
      </c>
      <c r="C37" s="3">
        <v>0.06</v>
      </c>
    </row>
    <row r="38" spans="1:4" ht="15.75" customHeight="1" x14ac:dyDescent="0.2">
      <c r="A38" s="6" t="s">
        <v>17</v>
      </c>
      <c r="B38">
        <v>6</v>
      </c>
      <c r="C38" s="3">
        <v>0.06</v>
      </c>
    </row>
    <row r="39" spans="1:4" ht="15.75" customHeight="1" x14ac:dyDescent="0.2">
      <c r="A39" s="6" t="s">
        <v>18</v>
      </c>
      <c r="B39">
        <v>6</v>
      </c>
      <c r="C39" s="3">
        <v>0.06</v>
      </c>
    </row>
    <row r="40" spans="1:4" ht="15.75" customHeight="1" x14ac:dyDescent="0.2">
      <c r="A40" s="1" t="s">
        <v>6</v>
      </c>
      <c r="B40">
        <v>7</v>
      </c>
      <c r="C40" s="3">
        <v>0.25</v>
      </c>
      <c r="D40" t="s">
        <v>19</v>
      </c>
    </row>
    <row r="41" spans="1:4" ht="15.75" customHeight="1" x14ac:dyDescent="0.2">
      <c r="A41" s="1" t="s">
        <v>7</v>
      </c>
      <c r="B41">
        <v>7</v>
      </c>
      <c r="C41" s="3">
        <v>0.04</v>
      </c>
      <c r="D41" t="s">
        <v>19</v>
      </c>
    </row>
    <row r="42" spans="1:4" ht="15.75" customHeight="1" x14ac:dyDescent="0.2">
      <c r="A42" s="1" t="s">
        <v>16</v>
      </c>
      <c r="B42">
        <v>7</v>
      </c>
      <c r="C42" s="3">
        <v>0.06</v>
      </c>
      <c r="D42" t="s">
        <v>19</v>
      </c>
    </row>
    <row r="43" spans="1:4" ht="15.75" customHeight="1" x14ac:dyDescent="0.2">
      <c r="A43" s="1" t="s">
        <v>8</v>
      </c>
      <c r="B43">
        <v>7</v>
      </c>
      <c r="C43" s="3">
        <v>0.08</v>
      </c>
      <c r="D43" t="s">
        <v>19</v>
      </c>
    </row>
    <row r="44" spans="1:4" ht="15.75" customHeight="1" x14ac:dyDescent="0.2">
      <c r="A44" s="1" t="s">
        <v>9</v>
      </c>
      <c r="B44">
        <v>7</v>
      </c>
      <c r="C44" s="3">
        <v>7.0000000000000007E-2</v>
      </c>
      <c r="D44" t="s">
        <v>19</v>
      </c>
    </row>
    <row r="45" spans="1:4" ht="15.75" customHeight="1" x14ac:dyDescent="0.2">
      <c r="A45" s="4" t="s">
        <v>10</v>
      </c>
      <c r="B45">
        <v>7</v>
      </c>
      <c r="C45" s="3">
        <v>0.09</v>
      </c>
      <c r="D45" t="s">
        <v>19</v>
      </c>
    </row>
    <row r="46" spans="1:4" ht="15.75" customHeight="1" x14ac:dyDescent="0.2">
      <c r="A46" s="5" t="s">
        <v>12</v>
      </c>
      <c r="B46">
        <v>7</v>
      </c>
      <c r="C46" s="3">
        <v>0.06</v>
      </c>
      <c r="D46" t="s">
        <v>19</v>
      </c>
    </row>
    <row r="47" spans="1:4" ht="15.75" customHeight="1" x14ac:dyDescent="0.2">
      <c r="A47" s="5" t="s">
        <v>13</v>
      </c>
      <c r="B47">
        <v>7</v>
      </c>
      <c r="C47" s="3">
        <v>0.09</v>
      </c>
      <c r="D47" t="s">
        <v>19</v>
      </c>
    </row>
    <row r="48" spans="1:4" ht="15.75" customHeight="1" x14ac:dyDescent="0.2">
      <c r="A48" s="6" t="s">
        <v>14</v>
      </c>
      <c r="B48">
        <v>7</v>
      </c>
      <c r="C48" s="3">
        <v>0.1</v>
      </c>
      <c r="D48" t="s">
        <v>19</v>
      </c>
    </row>
    <row r="49" spans="1:4" ht="15.75" customHeight="1" x14ac:dyDescent="0.2">
      <c r="A49" s="6" t="s">
        <v>17</v>
      </c>
      <c r="B49">
        <v>7</v>
      </c>
      <c r="C49" s="3">
        <v>0.08</v>
      </c>
      <c r="D49" t="s">
        <v>19</v>
      </c>
    </row>
    <row r="50" spans="1:4" ht="15.75" customHeight="1" x14ac:dyDescent="0.2">
      <c r="A50" s="6" t="s">
        <v>18</v>
      </c>
      <c r="B50">
        <v>7</v>
      </c>
      <c r="C50" s="3">
        <v>0.08</v>
      </c>
      <c r="D50" t="s">
        <v>19</v>
      </c>
    </row>
    <row r="51" spans="1:4" ht="15.75" customHeight="1" x14ac:dyDescent="0.2">
      <c r="A51" s="1" t="s">
        <v>6</v>
      </c>
      <c r="B51">
        <v>8</v>
      </c>
      <c r="C51" s="3">
        <v>0.2</v>
      </c>
    </row>
    <row r="52" spans="1:4" ht="15.75" customHeight="1" x14ac:dyDescent="0.2">
      <c r="A52" s="1" t="s">
        <v>7</v>
      </c>
      <c r="B52">
        <v>8</v>
      </c>
      <c r="C52" s="3">
        <v>7.0000000000000007E-2</v>
      </c>
    </row>
    <row r="53" spans="1:4" ht="15.75" customHeight="1" x14ac:dyDescent="0.2">
      <c r="A53" s="1" t="s">
        <v>16</v>
      </c>
      <c r="B53">
        <v>8</v>
      </c>
      <c r="C53" s="3">
        <v>0.08</v>
      </c>
    </row>
    <row r="54" spans="1:4" ht="15.75" customHeight="1" x14ac:dyDescent="0.2">
      <c r="A54" s="1" t="s">
        <v>8</v>
      </c>
      <c r="B54">
        <v>8</v>
      </c>
      <c r="C54" s="3">
        <v>7.0000000000000007E-2</v>
      </c>
    </row>
    <row r="55" spans="1:4" ht="15.75" customHeight="1" x14ac:dyDescent="0.2">
      <c r="A55" s="1" t="s">
        <v>9</v>
      </c>
      <c r="B55">
        <v>8</v>
      </c>
      <c r="C55" s="3">
        <v>0.08</v>
      </c>
    </row>
    <row r="56" spans="1:4" ht="15.75" customHeight="1" x14ac:dyDescent="0.2">
      <c r="A56" s="4" t="s">
        <v>10</v>
      </c>
      <c r="B56">
        <v>8</v>
      </c>
      <c r="C56" s="3">
        <v>0.09</v>
      </c>
    </row>
    <row r="57" spans="1:4" ht="15.75" customHeight="1" x14ac:dyDescent="0.2">
      <c r="A57" s="5" t="s">
        <v>12</v>
      </c>
      <c r="B57">
        <v>8</v>
      </c>
      <c r="C57" s="3">
        <v>0.08</v>
      </c>
    </row>
    <row r="58" spans="1:4" ht="15.75" customHeight="1" x14ac:dyDescent="0.2">
      <c r="A58" s="5" t="s">
        <v>13</v>
      </c>
      <c r="B58">
        <v>8</v>
      </c>
      <c r="C58" s="3">
        <v>0.09</v>
      </c>
    </row>
    <row r="59" spans="1:4" ht="15.75" customHeight="1" x14ac:dyDescent="0.2">
      <c r="A59" s="6" t="s">
        <v>14</v>
      </c>
      <c r="B59">
        <v>8</v>
      </c>
      <c r="C59" s="3">
        <v>0.08</v>
      </c>
    </row>
    <row r="60" spans="1:4" ht="15.75" customHeight="1" x14ac:dyDescent="0.2">
      <c r="A60" s="6" t="s">
        <v>17</v>
      </c>
      <c r="B60">
        <v>8</v>
      </c>
      <c r="C60" s="3">
        <v>0.08</v>
      </c>
    </row>
    <row r="61" spans="1:4" ht="15.75" customHeight="1" x14ac:dyDescent="0.2">
      <c r="A61" s="6" t="s">
        <v>18</v>
      </c>
      <c r="B61">
        <v>8</v>
      </c>
      <c r="C61" s="3">
        <v>0.08</v>
      </c>
    </row>
    <row r="62" spans="1:4" ht="15.75" customHeight="1" x14ac:dyDescent="0.2">
      <c r="A62" s="1" t="s">
        <v>6</v>
      </c>
      <c r="B62">
        <v>9</v>
      </c>
      <c r="C62" s="3">
        <v>0.15</v>
      </c>
      <c r="D62" t="s">
        <v>20</v>
      </c>
    </row>
    <row r="63" spans="1:4" ht="15.75" customHeight="1" x14ac:dyDescent="0.2">
      <c r="A63" s="1" t="s">
        <v>7</v>
      </c>
      <c r="B63">
        <v>9</v>
      </c>
      <c r="C63" s="3">
        <v>0.05</v>
      </c>
      <c r="D63" t="s">
        <v>20</v>
      </c>
    </row>
    <row r="64" spans="1:4" ht="15.75" customHeight="1" x14ac:dyDescent="0.2">
      <c r="A64" s="1" t="s">
        <v>16</v>
      </c>
      <c r="B64">
        <v>9</v>
      </c>
      <c r="C64" s="3">
        <v>7.0000000000000007E-2</v>
      </c>
      <c r="D64" t="s">
        <v>20</v>
      </c>
    </row>
    <row r="65" spans="1:4" ht="15.75" customHeight="1" x14ac:dyDescent="0.2">
      <c r="A65" s="1" t="s">
        <v>8</v>
      </c>
      <c r="B65">
        <v>9</v>
      </c>
      <c r="C65" s="3">
        <v>7.0000000000000007E-2</v>
      </c>
      <c r="D65" t="s">
        <v>20</v>
      </c>
    </row>
    <row r="66" spans="1:4" ht="15.75" customHeight="1" x14ac:dyDescent="0.2">
      <c r="A66" s="1" t="s">
        <v>9</v>
      </c>
      <c r="B66">
        <v>9</v>
      </c>
      <c r="C66" s="3">
        <v>0.08</v>
      </c>
      <c r="D66" t="s">
        <v>20</v>
      </c>
    </row>
    <row r="67" spans="1:4" ht="15.75" customHeight="1" x14ac:dyDescent="0.2">
      <c r="A67" s="4" t="s">
        <v>10</v>
      </c>
      <c r="B67">
        <v>9</v>
      </c>
      <c r="C67" s="3">
        <v>0.1</v>
      </c>
      <c r="D67" t="s">
        <v>20</v>
      </c>
    </row>
    <row r="68" spans="1:4" ht="15.75" customHeight="1" x14ac:dyDescent="0.2">
      <c r="A68" s="5" t="s">
        <v>12</v>
      </c>
      <c r="B68">
        <v>9</v>
      </c>
      <c r="C68" s="3">
        <v>0.08</v>
      </c>
      <c r="D68" t="s">
        <v>20</v>
      </c>
    </row>
    <row r="69" spans="1:4" ht="15.75" customHeight="1" x14ac:dyDescent="0.2">
      <c r="A69" s="5" t="s">
        <v>13</v>
      </c>
      <c r="B69">
        <v>9</v>
      </c>
      <c r="C69" s="3">
        <v>0.1</v>
      </c>
      <c r="D69" t="s">
        <v>20</v>
      </c>
    </row>
    <row r="70" spans="1:4" ht="15.75" customHeight="1" x14ac:dyDescent="0.2">
      <c r="A70" s="6" t="s">
        <v>14</v>
      </c>
      <c r="B70">
        <v>9</v>
      </c>
      <c r="C70" s="3">
        <v>0.1</v>
      </c>
      <c r="D70" t="s">
        <v>20</v>
      </c>
    </row>
    <row r="71" spans="1:4" ht="15.75" customHeight="1" x14ac:dyDescent="0.2">
      <c r="A71" s="6" t="s">
        <v>17</v>
      </c>
      <c r="B71">
        <v>9</v>
      </c>
      <c r="C71" s="3">
        <v>0.1</v>
      </c>
      <c r="D71" t="s">
        <v>20</v>
      </c>
    </row>
    <row r="72" spans="1:4" ht="15.75" customHeight="1" x14ac:dyDescent="0.2">
      <c r="A72" s="6" t="s">
        <v>18</v>
      </c>
      <c r="B72">
        <v>9</v>
      </c>
      <c r="C72" s="3">
        <v>0.1</v>
      </c>
      <c r="D72" t="s">
        <v>20</v>
      </c>
    </row>
    <row r="80" spans="1:4" ht="15.75" customHeight="1" x14ac:dyDescent="0.2">
      <c r="A80" t="s">
        <v>3</v>
      </c>
      <c r="B80" t="s">
        <v>21</v>
      </c>
      <c r="C80" t="s">
        <v>22</v>
      </c>
      <c r="D80" t="s">
        <v>23</v>
      </c>
    </row>
    <row r="81" spans="1:4" ht="15.75" customHeight="1" x14ac:dyDescent="0.2">
      <c r="A81" t="s">
        <v>24</v>
      </c>
      <c r="B81">
        <v>1</v>
      </c>
      <c r="C81" s="2">
        <v>1</v>
      </c>
      <c r="D81" t="s">
        <v>5</v>
      </c>
    </row>
    <row r="83" spans="1:4" ht="15.75" customHeight="1" x14ac:dyDescent="0.2">
      <c r="A83" t="s">
        <v>24</v>
      </c>
      <c r="B83">
        <v>2</v>
      </c>
      <c r="C83" s="2">
        <v>0.9</v>
      </c>
    </row>
    <row r="84" spans="1:4" ht="15.75" customHeight="1" x14ac:dyDescent="0.2">
      <c r="A84" t="s">
        <v>25</v>
      </c>
      <c r="B84">
        <v>2</v>
      </c>
      <c r="C84" s="2">
        <v>0.1</v>
      </c>
    </row>
    <row r="86" spans="1:4" ht="15.75" customHeight="1" x14ac:dyDescent="0.2">
      <c r="A86" t="s">
        <v>24</v>
      </c>
      <c r="B86">
        <v>3</v>
      </c>
      <c r="C86" s="2">
        <v>0.7</v>
      </c>
      <c r="D86" t="s">
        <v>26</v>
      </c>
    </row>
    <row r="87" spans="1:4" ht="15.75" customHeight="1" x14ac:dyDescent="0.2">
      <c r="A87" t="s">
        <v>25</v>
      </c>
      <c r="B87">
        <v>3</v>
      </c>
      <c r="C87" s="2">
        <v>0.1</v>
      </c>
      <c r="D87" t="s">
        <v>26</v>
      </c>
    </row>
    <row r="88" spans="1:4" ht="15.75" customHeight="1" x14ac:dyDescent="0.2">
      <c r="A88" t="s">
        <v>27</v>
      </c>
      <c r="B88">
        <v>3</v>
      </c>
      <c r="C88" s="2">
        <v>0.1</v>
      </c>
      <c r="D88" t="s">
        <v>26</v>
      </c>
    </row>
    <row r="89" spans="1:4" ht="15.75" customHeight="1" x14ac:dyDescent="0.2">
      <c r="A89" t="s">
        <v>28</v>
      </c>
      <c r="B89">
        <v>3</v>
      </c>
      <c r="C89" s="2">
        <v>0.1</v>
      </c>
      <c r="D89" t="s">
        <v>26</v>
      </c>
    </row>
    <row r="91" spans="1:4" ht="15.75" customHeight="1" x14ac:dyDescent="0.2">
      <c r="A91" t="s">
        <v>24</v>
      </c>
      <c r="B91">
        <v>4</v>
      </c>
      <c r="C91" s="2">
        <v>0.6</v>
      </c>
    </row>
    <row r="92" spans="1:4" ht="15.75" customHeight="1" x14ac:dyDescent="0.2">
      <c r="A92" t="s">
        <v>25</v>
      </c>
      <c r="B92">
        <v>4</v>
      </c>
      <c r="C92" s="2">
        <v>0.1</v>
      </c>
    </row>
    <row r="93" spans="1:4" ht="15.75" customHeight="1" x14ac:dyDescent="0.2">
      <c r="A93" t="s">
        <v>27</v>
      </c>
      <c r="B93">
        <v>4</v>
      </c>
      <c r="C93" s="2">
        <v>0.1</v>
      </c>
    </row>
    <row r="94" spans="1:4" ht="15.75" customHeight="1" x14ac:dyDescent="0.2">
      <c r="A94" t="s">
        <v>28</v>
      </c>
      <c r="B94">
        <v>4</v>
      </c>
      <c r="C94" s="2">
        <v>0.1</v>
      </c>
    </row>
    <row r="95" spans="1:4" ht="15.75" customHeight="1" x14ac:dyDescent="0.2">
      <c r="A95" t="s">
        <v>29</v>
      </c>
      <c r="B95">
        <v>4</v>
      </c>
      <c r="C95" s="2">
        <v>0.05</v>
      </c>
    </row>
    <row r="96" spans="1:4" ht="15.75" customHeight="1" x14ac:dyDescent="0.2">
      <c r="A96" t="s">
        <v>30</v>
      </c>
      <c r="B96">
        <v>4</v>
      </c>
      <c r="C96" s="2">
        <v>0.05</v>
      </c>
    </row>
    <row r="98" spans="1:4" ht="15.75" customHeight="1" x14ac:dyDescent="0.2">
      <c r="A98" t="s">
        <v>24</v>
      </c>
      <c r="B98">
        <v>5</v>
      </c>
      <c r="C98" s="2">
        <v>0.5</v>
      </c>
      <c r="D98" t="s">
        <v>31</v>
      </c>
    </row>
    <row r="99" spans="1:4" ht="15.75" customHeight="1" x14ac:dyDescent="0.2">
      <c r="A99" t="s">
        <v>25</v>
      </c>
      <c r="B99">
        <v>5</v>
      </c>
      <c r="C99" s="2">
        <v>0.1</v>
      </c>
      <c r="D99" t="s">
        <v>31</v>
      </c>
    </row>
    <row r="100" spans="1:4" ht="15.75" customHeight="1" x14ac:dyDescent="0.2">
      <c r="A100" t="s">
        <v>27</v>
      </c>
      <c r="B100">
        <v>5</v>
      </c>
      <c r="C100" s="2">
        <v>0.1</v>
      </c>
      <c r="D100" t="s">
        <v>31</v>
      </c>
    </row>
    <row r="101" spans="1:4" ht="15.75" customHeight="1" x14ac:dyDescent="0.2">
      <c r="A101" t="s">
        <v>28</v>
      </c>
      <c r="B101">
        <v>5</v>
      </c>
      <c r="C101" s="2">
        <v>0.1</v>
      </c>
      <c r="D101" t="s">
        <v>31</v>
      </c>
    </row>
    <row r="102" spans="1:4" ht="15.75" customHeight="1" x14ac:dyDescent="0.2">
      <c r="A102" t="s">
        <v>29</v>
      </c>
      <c r="B102">
        <v>5</v>
      </c>
      <c r="C102" s="2">
        <v>0.05</v>
      </c>
      <c r="D102" t="s">
        <v>31</v>
      </c>
    </row>
    <row r="103" spans="1:4" ht="15.75" customHeight="1" x14ac:dyDescent="0.2">
      <c r="A103" t="s">
        <v>30</v>
      </c>
      <c r="B103">
        <v>5</v>
      </c>
      <c r="C103" s="2">
        <v>0.05</v>
      </c>
      <c r="D103" t="s">
        <v>31</v>
      </c>
    </row>
    <row r="104" spans="1:4" ht="15.75" customHeight="1" x14ac:dyDescent="0.2">
      <c r="A104" t="s">
        <v>32</v>
      </c>
      <c r="B104">
        <v>5</v>
      </c>
      <c r="C104" s="2">
        <v>0.1</v>
      </c>
      <c r="D104" t="s">
        <v>31</v>
      </c>
    </row>
    <row r="106" spans="1:4" ht="15.75" customHeight="1" x14ac:dyDescent="0.2">
      <c r="A106" t="s">
        <v>24</v>
      </c>
      <c r="B106">
        <v>6</v>
      </c>
      <c r="C106" s="2">
        <v>0.3</v>
      </c>
    </row>
    <row r="107" spans="1:4" ht="15.75" customHeight="1" x14ac:dyDescent="0.2">
      <c r="A107" t="s">
        <v>25</v>
      </c>
      <c r="B107">
        <v>6</v>
      </c>
      <c r="C107" s="2">
        <v>0.1</v>
      </c>
    </row>
    <row r="108" spans="1:4" ht="15.75" customHeight="1" x14ac:dyDescent="0.2">
      <c r="A108" t="s">
        <v>33</v>
      </c>
      <c r="B108">
        <v>6</v>
      </c>
      <c r="C108" s="2">
        <v>0.1</v>
      </c>
    </row>
    <row r="109" spans="1:4" ht="15.75" customHeight="1" x14ac:dyDescent="0.2">
      <c r="A109" t="s">
        <v>27</v>
      </c>
      <c r="B109">
        <v>6</v>
      </c>
      <c r="C109" s="2">
        <v>0.1</v>
      </c>
    </row>
    <row r="110" spans="1:4" ht="15.75" customHeight="1" x14ac:dyDescent="0.2">
      <c r="A110" t="s">
        <v>28</v>
      </c>
      <c r="B110">
        <v>6</v>
      </c>
      <c r="C110" s="2">
        <v>0.1</v>
      </c>
    </row>
    <row r="111" spans="1:4" ht="15.75" customHeight="1" x14ac:dyDescent="0.2">
      <c r="A111" t="s">
        <v>29</v>
      </c>
      <c r="B111">
        <v>6</v>
      </c>
      <c r="C111" s="2">
        <v>0.05</v>
      </c>
    </row>
    <row r="112" spans="1:4" ht="15.75" customHeight="1" x14ac:dyDescent="0.2">
      <c r="A112" t="s">
        <v>30</v>
      </c>
      <c r="B112">
        <v>6</v>
      </c>
      <c r="C112" s="2">
        <v>0.05</v>
      </c>
    </row>
    <row r="113" spans="1:4" ht="15.75" customHeight="1" x14ac:dyDescent="0.2">
      <c r="A113" t="s">
        <v>32</v>
      </c>
      <c r="B113">
        <v>6</v>
      </c>
      <c r="C113" s="2">
        <v>0.1</v>
      </c>
    </row>
    <row r="114" spans="1:4" ht="15.75" customHeight="1" x14ac:dyDescent="0.2">
      <c r="A114" t="s">
        <v>34</v>
      </c>
      <c r="B114">
        <v>6</v>
      </c>
      <c r="C114" s="2">
        <v>0.1</v>
      </c>
    </row>
    <row r="116" spans="1:4" ht="15.75" customHeight="1" x14ac:dyDescent="0.2">
      <c r="A116" t="s">
        <v>24</v>
      </c>
      <c r="B116">
        <v>7</v>
      </c>
      <c r="C116" s="2">
        <v>0.25</v>
      </c>
      <c r="D116" t="s">
        <v>35</v>
      </c>
    </row>
    <row r="117" spans="1:4" ht="15.75" customHeight="1" x14ac:dyDescent="0.2">
      <c r="A117" t="s">
        <v>25</v>
      </c>
      <c r="B117">
        <v>7</v>
      </c>
      <c r="C117" s="2">
        <v>0.1</v>
      </c>
      <c r="D117" t="s">
        <v>35</v>
      </c>
    </row>
    <row r="118" spans="1:4" ht="15.75" customHeight="1" x14ac:dyDescent="0.2">
      <c r="A118" t="s">
        <v>33</v>
      </c>
      <c r="B118">
        <v>7</v>
      </c>
      <c r="C118" s="2">
        <v>0.1</v>
      </c>
      <c r="D118" t="s">
        <v>35</v>
      </c>
    </row>
    <row r="119" spans="1:4" ht="15.75" customHeight="1" x14ac:dyDescent="0.2">
      <c r="A119" t="s">
        <v>27</v>
      </c>
      <c r="B119">
        <v>7</v>
      </c>
      <c r="C119" s="2">
        <v>0.1</v>
      </c>
      <c r="D119" t="s">
        <v>35</v>
      </c>
    </row>
    <row r="120" spans="1:4" ht="15.75" customHeight="1" x14ac:dyDescent="0.2">
      <c r="A120" t="s">
        <v>28</v>
      </c>
      <c r="B120">
        <v>7</v>
      </c>
      <c r="C120" s="2">
        <v>0.1</v>
      </c>
      <c r="D120" t="s">
        <v>35</v>
      </c>
    </row>
    <row r="121" spans="1:4" ht="15.75" customHeight="1" x14ac:dyDescent="0.2">
      <c r="A121" t="s">
        <v>29</v>
      </c>
      <c r="B121">
        <v>7</v>
      </c>
      <c r="C121" s="2">
        <v>0.08</v>
      </c>
      <c r="D121" t="s">
        <v>35</v>
      </c>
    </row>
    <row r="122" spans="1:4" ht="15.75" customHeight="1" x14ac:dyDescent="0.2">
      <c r="A122" t="s">
        <v>30</v>
      </c>
      <c r="B122">
        <v>7</v>
      </c>
      <c r="C122" s="2">
        <v>7.0000000000000007E-2</v>
      </c>
      <c r="D122" t="s">
        <v>35</v>
      </c>
    </row>
    <row r="123" spans="1:4" ht="15.75" customHeight="1" x14ac:dyDescent="0.2">
      <c r="A123" t="s">
        <v>32</v>
      </c>
      <c r="B123">
        <v>7</v>
      </c>
      <c r="C123" s="2">
        <v>0.1</v>
      </c>
      <c r="D123" t="s">
        <v>35</v>
      </c>
    </row>
    <row r="124" spans="1:4" ht="15.75" customHeight="1" x14ac:dyDescent="0.2">
      <c r="A124" t="s">
        <v>34</v>
      </c>
      <c r="B124">
        <v>7</v>
      </c>
      <c r="C124" s="2">
        <v>0.1</v>
      </c>
      <c r="D124" t="s">
        <v>35</v>
      </c>
    </row>
    <row r="126" spans="1:4" ht="15.75" customHeight="1" x14ac:dyDescent="0.2">
      <c r="A126" t="s">
        <v>24</v>
      </c>
      <c r="B126">
        <v>8</v>
      </c>
      <c r="C126" s="2">
        <v>0.2</v>
      </c>
    </row>
    <row r="127" spans="1:4" ht="15.75" customHeight="1" x14ac:dyDescent="0.2">
      <c r="A127" t="s">
        <v>25</v>
      </c>
      <c r="B127">
        <v>8</v>
      </c>
      <c r="C127" s="2">
        <v>0.1</v>
      </c>
    </row>
    <row r="128" spans="1:4" ht="15.75" customHeight="1" x14ac:dyDescent="0.2">
      <c r="A128" t="s">
        <v>33</v>
      </c>
      <c r="B128">
        <v>8</v>
      </c>
      <c r="C128" s="2">
        <v>0.1</v>
      </c>
    </row>
    <row r="129" spans="1:4" ht="15.75" customHeight="1" x14ac:dyDescent="0.2">
      <c r="A129" t="s">
        <v>27</v>
      </c>
      <c r="B129">
        <v>8</v>
      </c>
      <c r="C129" s="2">
        <v>0.1</v>
      </c>
    </row>
    <row r="130" spans="1:4" ht="15.75" customHeight="1" x14ac:dyDescent="0.2">
      <c r="A130" t="s">
        <v>28</v>
      </c>
      <c r="B130">
        <v>8</v>
      </c>
      <c r="C130" s="2">
        <v>0.1</v>
      </c>
    </row>
    <row r="131" spans="1:4" ht="15.75" customHeight="1" x14ac:dyDescent="0.2">
      <c r="A131" t="s">
        <v>29</v>
      </c>
      <c r="B131">
        <v>8</v>
      </c>
      <c r="C131" s="2">
        <v>0.1</v>
      </c>
    </row>
    <row r="132" spans="1:4" ht="15.75" customHeight="1" x14ac:dyDescent="0.2">
      <c r="A132" t="s">
        <v>30</v>
      </c>
      <c r="B132">
        <v>8</v>
      </c>
      <c r="C132" s="2">
        <v>0.1</v>
      </c>
    </row>
    <row r="133" spans="1:4" ht="15.75" customHeight="1" x14ac:dyDescent="0.2">
      <c r="A133" t="s">
        <v>32</v>
      </c>
      <c r="B133">
        <v>8</v>
      </c>
      <c r="C133" s="2">
        <v>0.1</v>
      </c>
    </row>
    <row r="134" spans="1:4" ht="15.75" customHeight="1" x14ac:dyDescent="0.2">
      <c r="A134" t="s">
        <v>34</v>
      </c>
      <c r="B134">
        <v>8</v>
      </c>
      <c r="C134" s="2">
        <v>0.1</v>
      </c>
    </row>
    <row r="136" spans="1:4" ht="15.75" customHeight="1" x14ac:dyDescent="0.2">
      <c r="A136" t="s">
        <v>24</v>
      </c>
      <c r="B136">
        <v>9</v>
      </c>
      <c r="C136" s="2">
        <v>0.15</v>
      </c>
      <c r="D136" t="s">
        <v>36</v>
      </c>
    </row>
    <row r="137" spans="1:4" ht="15.75" customHeight="1" x14ac:dyDescent="0.2">
      <c r="A137" t="s">
        <v>25</v>
      </c>
      <c r="B137">
        <v>9</v>
      </c>
      <c r="C137" s="2">
        <v>0.1</v>
      </c>
      <c r="D137" t="s">
        <v>36</v>
      </c>
    </row>
    <row r="138" spans="1:4" ht="15.75" customHeight="1" x14ac:dyDescent="0.2">
      <c r="A138" t="s">
        <v>33</v>
      </c>
      <c r="B138">
        <v>9</v>
      </c>
      <c r="C138" s="2">
        <v>0.1</v>
      </c>
      <c r="D138" t="s">
        <v>36</v>
      </c>
    </row>
    <row r="139" spans="1:4" ht="15.75" customHeight="1" x14ac:dyDescent="0.2">
      <c r="A139" t="s">
        <v>27</v>
      </c>
      <c r="B139">
        <v>9</v>
      </c>
      <c r="C139" s="2">
        <v>0.1</v>
      </c>
      <c r="D139" t="s">
        <v>36</v>
      </c>
    </row>
    <row r="140" spans="1:4" ht="15.75" customHeight="1" x14ac:dyDescent="0.2">
      <c r="A140" t="s">
        <v>28</v>
      </c>
      <c r="B140">
        <v>9</v>
      </c>
      <c r="C140" s="2">
        <v>0.1</v>
      </c>
      <c r="D140" t="s">
        <v>36</v>
      </c>
    </row>
    <row r="141" spans="1:4" ht="15.75" customHeight="1" x14ac:dyDescent="0.2">
      <c r="A141" t="s">
        <v>29</v>
      </c>
      <c r="B141">
        <v>9</v>
      </c>
      <c r="C141" s="2">
        <v>0.1</v>
      </c>
      <c r="D141" t="s">
        <v>36</v>
      </c>
    </row>
    <row r="142" spans="1:4" ht="15.75" customHeight="1" x14ac:dyDescent="0.2">
      <c r="A142" t="s">
        <v>30</v>
      </c>
      <c r="B142">
        <v>9</v>
      </c>
      <c r="C142" s="2">
        <v>0.1</v>
      </c>
      <c r="D142" t="s">
        <v>36</v>
      </c>
    </row>
    <row r="143" spans="1:4" ht="15.75" customHeight="1" x14ac:dyDescent="0.2">
      <c r="A143" t="s">
        <v>32</v>
      </c>
      <c r="B143">
        <v>9</v>
      </c>
      <c r="C143" s="2">
        <v>0.15</v>
      </c>
      <c r="D143" t="s">
        <v>36</v>
      </c>
    </row>
    <row r="144" spans="1:4" ht="15.75" customHeight="1" x14ac:dyDescent="0.2">
      <c r="A144" t="s">
        <v>34</v>
      </c>
      <c r="B144">
        <v>9</v>
      </c>
      <c r="C144" s="2">
        <v>0.1</v>
      </c>
      <c r="D144" t="s">
        <v>36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8"/>
  <sheetViews>
    <sheetView zoomScaleNormal="100" workbookViewId="0">
      <selection activeCell="A88" sqref="A88"/>
    </sheetView>
  </sheetViews>
  <sheetFormatPr baseColWidth="10" defaultColWidth="10.5" defaultRowHeight="15.75" customHeight="1" x14ac:dyDescent="0.2"/>
  <cols>
    <col min="1" max="1" width="25.33203125" customWidth="1"/>
  </cols>
  <sheetData>
    <row r="1" spans="1:7" ht="15.75" customHeight="1" x14ac:dyDescent="0.2">
      <c r="A1" t="s">
        <v>37</v>
      </c>
    </row>
    <row r="2" spans="1:7" ht="15.75" customHeight="1" x14ac:dyDescent="0.2">
      <c r="A2" s="1" t="s">
        <v>4</v>
      </c>
      <c r="B2" s="2">
        <v>1</v>
      </c>
    </row>
    <row r="4" spans="1:7" ht="15.75" customHeight="1" x14ac:dyDescent="0.2">
      <c r="A4" t="s">
        <v>11</v>
      </c>
    </row>
    <row r="5" spans="1:7" ht="15.75" customHeight="1" x14ac:dyDescent="0.2">
      <c r="A5" s="1" t="s">
        <v>6</v>
      </c>
      <c r="B5" s="3">
        <v>0.8</v>
      </c>
      <c r="C5" s="8" t="s">
        <v>38</v>
      </c>
      <c r="D5" s="2">
        <v>1</v>
      </c>
    </row>
    <row r="6" spans="1:7" ht="15.75" customHeight="1" x14ac:dyDescent="0.2">
      <c r="A6" s="1" t="s">
        <v>7</v>
      </c>
      <c r="B6" s="3">
        <v>0.03</v>
      </c>
      <c r="C6" s="8" t="s">
        <v>39</v>
      </c>
      <c r="D6" s="8" t="s">
        <v>40</v>
      </c>
      <c r="E6" s="8" t="s">
        <v>11</v>
      </c>
      <c r="F6" s="8" t="s">
        <v>41</v>
      </c>
      <c r="G6" s="8" t="s">
        <v>42</v>
      </c>
    </row>
    <row r="7" spans="1:7" ht="15.75" customHeight="1" x14ac:dyDescent="0.2">
      <c r="A7" s="1" t="s">
        <v>8</v>
      </c>
      <c r="B7" s="3">
        <v>0.05</v>
      </c>
      <c r="C7" s="8" t="s">
        <v>43</v>
      </c>
      <c r="D7" s="9">
        <v>1.15594741666667E-2</v>
      </c>
      <c r="E7" s="10">
        <v>1.16888302659146E-2</v>
      </c>
      <c r="F7" s="10">
        <v>1.01119048300838</v>
      </c>
      <c r="G7" s="9">
        <v>0.149644223120737</v>
      </c>
    </row>
    <row r="8" spans="1:7" ht="15.75" customHeight="1" x14ac:dyDescent="0.2">
      <c r="A8" s="1" t="s">
        <v>9</v>
      </c>
      <c r="B8" s="3">
        <v>0.05</v>
      </c>
      <c r="C8" s="8" t="s">
        <v>44</v>
      </c>
      <c r="D8" s="10">
        <v>1.0200000000000001E-2</v>
      </c>
      <c r="E8" s="10">
        <v>1.0426621024217901E-2</v>
      </c>
      <c r="F8" s="10">
        <v>1.02221774747234</v>
      </c>
      <c r="G8" s="9">
        <v>0.132549928827257</v>
      </c>
    </row>
    <row r="9" spans="1:7" ht="15.75" customHeight="1" x14ac:dyDescent="0.2">
      <c r="A9" s="4" t="s">
        <v>10</v>
      </c>
      <c r="B9" s="3">
        <v>7.0000000000000007E-2</v>
      </c>
      <c r="C9" s="8" t="s">
        <v>45</v>
      </c>
      <c r="D9" s="10">
        <v>1.01E-2</v>
      </c>
      <c r="E9" s="10">
        <v>1.04135251305719E-2</v>
      </c>
      <c r="F9" s="10">
        <v>1.0310420921358301</v>
      </c>
      <c r="G9" s="9">
        <v>0.132373796933447</v>
      </c>
    </row>
    <row r="11" spans="1:7" ht="15.75" customHeight="1" x14ac:dyDescent="0.2">
      <c r="A11" t="s">
        <v>46</v>
      </c>
    </row>
    <row r="12" spans="1:7" ht="15.75" customHeight="1" x14ac:dyDescent="0.2">
      <c r="A12" s="1" t="s">
        <v>6</v>
      </c>
      <c r="B12" s="3">
        <v>0.5</v>
      </c>
      <c r="C12" s="8" t="s">
        <v>38</v>
      </c>
      <c r="D12" s="2">
        <v>1</v>
      </c>
    </row>
    <row r="13" spans="1:7" ht="15.75" customHeight="1" x14ac:dyDescent="0.2">
      <c r="A13" s="1" t="s">
        <v>7</v>
      </c>
      <c r="B13" s="3">
        <v>0.04</v>
      </c>
      <c r="C13" s="8" t="s">
        <v>39</v>
      </c>
      <c r="D13" s="8" t="s">
        <v>40</v>
      </c>
      <c r="E13" s="8" t="s">
        <v>11</v>
      </c>
      <c r="F13" s="8" t="s">
        <v>41</v>
      </c>
      <c r="G13" s="8" t="s">
        <v>42</v>
      </c>
    </row>
    <row r="14" spans="1:7" ht="15.75" customHeight="1" x14ac:dyDescent="0.2">
      <c r="A14" s="1" t="s">
        <v>8</v>
      </c>
      <c r="B14" s="3">
        <v>0.08</v>
      </c>
      <c r="C14" s="8" t="s">
        <v>43</v>
      </c>
      <c r="D14" s="9">
        <v>1.15594741666667E-2</v>
      </c>
      <c r="E14" s="10">
        <v>1.5407965071369E-2</v>
      </c>
      <c r="F14" s="10">
        <v>1.332929582195</v>
      </c>
      <c r="G14" s="9">
        <v>0.20139768106736899</v>
      </c>
    </row>
    <row r="15" spans="1:7" ht="15.75" customHeight="1" x14ac:dyDescent="0.2">
      <c r="A15" s="1" t="s">
        <v>9</v>
      </c>
      <c r="B15" s="3">
        <v>7.0000000000000007E-2</v>
      </c>
      <c r="C15" s="8" t="s">
        <v>44</v>
      </c>
      <c r="D15" s="10">
        <v>1.0200000000000001E-2</v>
      </c>
      <c r="E15" s="10">
        <v>1.09548154403281E-2</v>
      </c>
      <c r="F15" s="10">
        <v>1.07400151375766</v>
      </c>
      <c r="G15" s="9">
        <v>0.13967479392933599</v>
      </c>
    </row>
    <row r="16" spans="1:7" ht="15.75" customHeight="1" x14ac:dyDescent="0.2">
      <c r="A16" s="4" t="s">
        <v>10</v>
      </c>
      <c r="B16" s="3">
        <v>0.09</v>
      </c>
      <c r="C16" s="8" t="s">
        <v>45</v>
      </c>
      <c r="D16" s="10">
        <v>1.01E-2</v>
      </c>
      <c r="E16" s="10">
        <v>1.1302674343737299E-2</v>
      </c>
      <c r="F16" s="10">
        <v>1.1190766676967601</v>
      </c>
      <c r="G16" s="9">
        <v>0.144389510949123</v>
      </c>
    </row>
    <row r="17" spans="1:7" ht="15.75" customHeight="1" x14ac:dyDescent="0.2">
      <c r="A17" s="5" t="s">
        <v>12</v>
      </c>
      <c r="B17" s="3">
        <v>0.06</v>
      </c>
    </row>
    <row r="18" spans="1:7" ht="15.75" customHeight="1" x14ac:dyDescent="0.2">
      <c r="A18" s="5" t="s">
        <v>13</v>
      </c>
      <c r="B18" s="3">
        <v>0.08</v>
      </c>
    </row>
    <row r="19" spans="1:7" ht="15.75" customHeight="1" x14ac:dyDescent="0.2">
      <c r="A19" s="6" t="s">
        <v>14</v>
      </c>
      <c r="B19" s="3">
        <v>0.08</v>
      </c>
    </row>
    <row r="21" spans="1:7" ht="15.75" customHeight="1" x14ac:dyDescent="0.2">
      <c r="A21" t="s">
        <v>47</v>
      </c>
    </row>
    <row r="22" spans="1:7" ht="15.75" customHeight="1" x14ac:dyDescent="0.2">
      <c r="A22" s="1" t="s">
        <v>6</v>
      </c>
      <c r="B22" s="3">
        <v>0.25</v>
      </c>
      <c r="C22" s="9" t="s">
        <v>38</v>
      </c>
      <c r="D22" s="9">
        <v>1</v>
      </c>
      <c r="E22" s="9"/>
      <c r="F22" s="9"/>
      <c r="G22" s="9"/>
    </row>
    <row r="23" spans="1:7" ht="15.75" customHeight="1" x14ac:dyDescent="0.2">
      <c r="A23" s="1" t="s">
        <v>7</v>
      </c>
      <c r="B23" s="3">
        <v>0.04</v>
      </c>
      <c r="C23" s="9" t="s">
        <v>39</v>
      </c>
      <c r="D23" s="9" t="s">
        <v>40</v>
      </c>
      <c r="E23" s="9" t="s">
        <v>11</v>
      </c>
      <c r="F23" s="9" t="s">
        <v>41</v>
      </c>
      <c r="G23" s="9" t="s">
        <v>42</v>
      </c>
    </row>
    <row r="24" spans="1:7" ht="15.75" customHeight="1" x14ac:dyDescent="0.2">
      <c r="A24" s="1" t="s">
        <v>16</v>
      </c>
      <c r="B24" s="3">
        <v>0.06</v>
      </c>
      <c r="C24" s="9" t="s">
        <v>43</v>
      </c>
      <c r="D24" s="9">
        <v>1.15594741666667E-2</v>
      </c>
      <c r="E24" s="9">
        <v>1.87399650718603E-2</v>
      </c>
      <c r="F24" s="9">
        <v>1.62117798800048</v>
      </c>
      <c r="G24" s="9">
        <v>0.24956866461760799</v>
      </c>
    </row>
    <row r="25" spans="1:7" ht="15.75" customHeight="1" x14ac:dyDescent="0.2">
      <c r="A25" s="1" t="s">
        <v>8</v>
      </c>
      <c r="B25" s="3">
        <v>0.08</v>
      </c>
      <c r="C25" s="9" t="s">
        <v>44</v>
      </c>
      <c r="D25" s="9">
        <v>1.0200000000000001E-2</v>
      </c>
      <c r="E25" s="9">
        <v>1.11099822434474E-2</v>
      </c>
      <c r="F25" s="9">
        <v>1.0892139454360199</v>
      </c>
      <c r="G25" s="9">
        <v>0.141775648101405</v>
      </c>
    </row>
    <row r="26" spans="1:7" ht="15.75" customHeight="1" x14ac:dyDescent="0.2">
      <c r="A26" s="1" t="s">
        <v>9</v>
      </c>
      <c r="B26" s="3">
        <v>7.0000000000000007E-2</v>
      </c>
      <c r="C26" s="9" t="s">
        <v>45</v>
      </c>
      <c r="D26" s="9">
        <v>1.01E-2</v>
      </c>
      <c r="E26" s="9">
        <v>1.2152642679589201E-2</v>
      </c>
      <c r="F26" s="9">
        <v>1.20323194847418</v>
      </c>
      <c r="G26" s="9">
        <v>0.15598489798970799</v>
      </c>
    </row>
    <row r="27" spans="1:7" ht="15.75" customHeight="1" x14ac:dyDescent="0.2">
      <c r="A27" s="4" t="s">
        <v>10</v>
      </c>
      <c r="B27" s="3">
        <v>0.09</v>
      </c>
    </row>
    <row r="28" spans="1:7" ht="15.75" customHeight="1" x14ac:dyDescent="0.2">
      <c r="A28" s="5" t="s">
        <v>12</v>
      </c>
      <c r="B28" s="3">
        <v>0.06</v>
      </c>
    </row>
    <row r="29" spans="1:7" ht="15.75" customHeight="1" x14ac:dyDescent="0.2">
      <c r="A29" s="5" t="s">
        <v>13</v>
      </c>
      <c r="B29" s="3">
        <v>0.09</v>
      </c>
    </row>
    <row r="30" spans="1:7" ht="15.75" customHeight="1" x14ac:dyDescent="0.2">
      <c r="A30" s="6" t="s">
        <v>14</v>
      </c>
      <c r="B30" s="3">
        <v>0.1</v>
      </c>
    </row>
    <row r="31" spans="1:7" ht="15.75" customHeight="1" x14ac:dyDescent="0.2">
      <c r="A31" s="6" t="s">
        <v>17</v>
      </c>
      <c r="B31" s="3">
        <v>0.08</v>
      </c>
    </row>
    <row r="32" spans="1:7" ht="15.75" customHeight="1" x14ac:dyDescent="0.2">
      <c r="A32" s="6" t="s">
        <v>18</v>
      </c>
      <c r="B32" s="3">
        <v>0.08</v>
      </c>
    </row>
    <row r="34" spans="1:7" ht="15.75" customHeight="1" x14ac:dyDescent="0.2">
      <c r="A34" t="s">
        <v>20</v>
      </c>
    </row>
    <row r="35" spans="1:7" ht="15.75" customHeight="1" x14ac:dyDescent="0.2">
      <c r="A35" s="1" t="s">
        <v>6</v>
      </c>
      <c r="B35" s="3">
        <v>0.15</v>
      </c>
      <c r="C35" s="9" t="s">
        <v>38</v>
      </c>
      <c r="D35" s="9">
        <v>1</v>
      </c>
      <c r="E35" s="9"/>
      <c r="F35" s="9"/>
      <c r="G35" s="9"/>
    </row>
    <row r="36" spans="1:7" ht="15.75" customHeight="1" x14ac:dyDescent="0.2">
      <c r="A36" s="1" t="s">
        <v>7</v>
      </c>
      <c r="B36" s="3">
        <v>0.05</v>
      </c>
      <c r="C36" s="9" t="s">
        <v>39</v>
      </c>
      <c r="D36" s="9" t="s">
        <v>40</v>
      </c>
      <c r="E36" s="9" t="s">
        <v>11</v>
      </c>
      <c r="F36" s="9" t="s">
        <v>41</v>
      </c>
      <c r="G36" s="9" t="s">
        <v>42</v>
      </c>
    </row>
    <row r="37" spans="1:7" ht="15.75" customHeight="1" x14ac:dyDescent="0.2">
      <c r="A37" s="1" t="s">
        <v>16</v>
      </c>
      <c r="B37" s="3">
        <v>7.0000000000000007E-2</v>
      </c>
      <c r="C37" s="9" t="s">
        <v>43</v>
      </c>
      <c r="D37" s="9">
        <v>1.15594741666667E-2</v>
      </c>
      <c r="E37" s="9">
        <v>1.9535863403951199E-2</v>
      </c>
      <c r="F37" s="9">
        <v>1.6900304566003099</v>
      </c>
      <c r="G37" s="9">
        <v>0.26133395361682399</v>
      </c>
    </row>
    <row r="38" spans="1:7" ht="15.75" customHeight="1" x14ac:dyDescent="0.2">
      <c r="A38" s="1" t="s">
        <v>8</v>
      </c>
      <c r="B38" s="3">
        <v>7.0000000000000007E-2</v>
      </c>
      <c r="C38" s="9" t="s">
        <v>44</v>
      </c>
      <c r="D38" s="9">
        <v>1.0200000000000001E-2</v>
      </c>
      <c r="E38" s="9">
        <v>1.11041169176288E-2</v>
      </c>
      <c r="F38" s="9">
        <v>1.0886389134930201</v>
      </c>
      <c r="G38" s="9">
        <v>0.14169617102002099</v>
      </c>
    </row>
    <row r="39" spans="1:7" ht="15.75" customHeight="1" x14ac:dyDescent="0.2">
      <c r="A39" s="1" t="s">
        <v>9</v>
      </c>
      <c r="B39" s="3">
        <v>0.08</v>
      </c>
      <c r="C39" s="9" t="s">
        <v>45</v>
      </c>
      <c r="D39" s="9">
        <v>1.01E-2</v>
      </c>
      <c r="E39" s="9">
        <v>1.23624500663197E-2</v>
      </c>
      <c r="F39" s="9">
        <v>1.22400495706135</v>
      </c>
      <c r="G39" s="9">
        <v>0.15886364407401399</v>
      </c>
    </row>
    <row r="40" spans="1:7" ht="15.75" customHeight="1" x14ac:dyDescent="0.2">
      <c r="A40" s="4" t="s">
        <v>10</v>
      </c>
      <c r="B40" s="3">
        <v>0.1</v>
      </c>
    </row>
    <row r="41" spans="1:7" ht="15.75" customHeight="1" x14ac:dyDescent="0.2">
      <c r="A41" s="5" t="s">
        <v>12</v>
      </c>
      <c r="B41" s="3">
        <v>0.08</v>
      </c>
    </row>
    <row r="42" spans="1:7" ht="15.75" customHeight="1" x14ac:dyDescent="0.2">
      <c r="A42" s="5" t="s">
        <v>13</v>
      </c>
      <c r="B42" s="3">
        <v>0.1</v>
      </c>
    </row>
    <row r="43" spans="1:7" ht="15.75" customHeight="1" x14ac:dyDescent="0.2">
      <c r="A43" s="6" t="s">
        <v>14</v>
      </c>
      <c r="B43" s="3">
        <v>0.1</v>
      </c>
    </row>
    <row r="44" spans="1:7" ht="15.75" customHeight="1" x14ac:dyDescent="0.2">
      <c r="A44" s="6" t="s">
        <v>17</v>
      </c>
      <c r="B44" s="3">
        <v>0.1</v>
      </c>
    </row>
    <row r="45" spans="1:7" ht="15.75" customHeight="1" x14ac:dyDescent="0.2">
      <c r="A45" s="6" t="s">
        <v>18</v>
      </c>
      <c r="B45" s="3">
        <v>0.1</v>
      </c>
    </row>
    <row r="47" spans="1:7" ht="15.75" customHeight="1" x14ac:dyDescent="0.2">
      <c r="A47" t="s">
        <v>48</v>
      </c>
    </row>
    <row r="48" spans="1:7" ht="15.75" customHeight="1" x14ac:dyDescent="0.2">
      <c r="A48" s="1" t="s">
        <v>6</v>
      </c>
      <c r="B48" s="3">
        <v>0.7</v>
      </c>
      <c r="C48" s="9" t="s">
        <v>38</v>
      </c>
      <c r="D48" s="9">
        <v>1</v>
      </c>
      <c r="E48" s="9"/>
      <c r="F48" s="9"/>
      <c r="G48" s="9"/>
    </row>
    <row r="49" spans="1:7" ht="15.75" customHeight="1" x14ac:dyDescent="0.2">
      <c r="A49" s="1" t="s">
        <v>7</v>
      </c>
      <c r="B49" s="3">
        <v>0.1</v>
      </c>
      <c r="C49" s="9" t="s">
        <v>39</v>
      </c>
      <c r="D49" s="9" t="s">
        <v>40</v>
      </c>
      <c r="E49" s="9" t="s">
        <v>11</v>
      </c>
      <c r="F49" s="9" t="s">
        <v>41</v>
      </c>
      <c r="G49" s="9" t="s">
        <v>42</v>
      </c>
    </row>
    <row r="50" spans="1:7" ht="15.75" customHeight="1" x14ac:dyDescent="0.2">
      <c r="A50" s="1" t="s">
        <v>8</v>
      </c>
      <c r="B50" s="3">
        <v>0.1</v>
      </c>
      <c r="C50" s="9" t="s">
        <v>43</v>
      </c>
      <c r="D50" s="9">
        <v>1.15594741666667E-2</v>
      </c>
      <c r="E50" s="9">
        <v>1.1630824198920999E-2</v>
      </c>
      <c r="F50" s="9">
        <v>1.00617242888609</v>
      </c>
      <c r="G50" s="9">
        <v>0.14885348218351799</v>
      </c>
    </row>
    <row r="51" spans="1:7" ht="15.75" customHeight="1" x14ac:dyDescent="0.2">
      <c r="A51" s="1" t="s">
        <v>9</v>
      </c>
      <c r="B51" s="3">
        <v>0.1</v>
      </c>
      <c r="C51" s="9" t="s">
        <v>44</v>
      </c>
      <c r="D51" s="9">
        <v>1.0200000000000001E-2</v>
      </c>
      <c r="E51" s="9">
        <v>1.0365299605989401E-2</v>
      </c>
      <c r="F51" s="9">
        <v>1.0162058437244501</v>
      </c>
      <c r="G51" s="9">
        <v>0.131725409088426</v>
      </c>
    </row>
    <row r="52" spans="1:7" ht="15.75" customHeight="1" x14ac:dyDescent="0.2">
      <c r="A52" s="11" t="s">
        <v>10</v>
      </c>
      <c r="B52" s="3">
        <v>0</v>
      </c>
      <c r="C52" s="9" t="s">
        <v>45</v>
      </c>
      <c r="D52" s="9">
        <v>1.01E-2</v>
      </c>
      <c r="E52" s="9">
        <v>1.0268534238754E-2</v>
      </c>
      <c r="F52" s="9">
        <v>1.01668655829248</v>
      </c>
      <c r="G52" s="9">
        <v>0.13042543382643701</v>
      </c>
    </row>
    <row r="54" spans="1:7" ht="15.75" customHeight="1" x14ac:dyDescent="0.2">
      <c r="A54" t="s">
        <v>49</v>
      </c>
    </row>
    <row r="55" spans="1:7" ht="15.75" customHeight="1" x14ac:dyDescent="0.2">
      <c r="A55" s="1" t="s">
        <v>6</v>
      </c>
      <c r="B55" s="3">
        <v>0.5</v>
      </c>
      <c r="C55" s="9" t="s">
        <v>38</v>
      </c>
      <c r="D55" s="9">
        <v>1</v>
      </c>
      <c r="E55" s="9"/>
      <c r="F55" s="9"/>
      <c r="G55" s="9"/>
    </row>
    <row r="56" spans="1:7" ht="15.75" customHeight="1" x14ac:dyDescent="0.2">
      <c r="A56" s="1" t="s">
        <v>7</v>
      </c>
      <c r="B56" s="3">
        <v>0.1</v>
      </c>
      <c r="C56" s="9" t="s">
        <v>39</v>
      </c>
      <c r="D56" s="9" t="s">
        <v>40</v>
      </c>
      <c r="E56" s="9" t="s">
        <v>11</v>
      </c>
      <c r="F56" s="9" t="s">
        <v>41</v>
      </c>
      <c r="G56" s="9" t="s">
        <v>42</v>
      </c>
    </row>
    <row r="57" spans="1:7" ht="15.75" customHeight="1" x14ac:dyDescent="0.2">
      <c r="A57" s="1" t="s">
        <v>8</v>
      </c>
      <c r="B57" s="3">
        <v>0.1</v>
      </c>
      <c r="C57" s="9" t="s">
        <v>43</v>
      </c>
      <c r="D57" s="9">
        <v>1.15594741666667E-2</v>
      </c>
      <c r="E57" s="9">
        <v>1.5668109652497798E-2</v>
      </c>
      <c r="F57" s="9">
        <v>1.3554344623805501</v>
      </c>
      <c r="G57" s="9">
        <v>0.20509642531160599</v>
      </c>
    </row>
    <row r="58" spans="1:7" ht="15.75" customHeight="1" x14ac:dyDescent="0.2">
      <c r="A58" s="1" t="s">
        <v>9</v>
      </c>
      <c r="B58" s="3">
        <v>0.1</v>
      </c>
      <c r="C58" s="9" t="s">
        <v>44</v>
      </c>
      <c r="D58" s="9">
        <v>1.0200000000000001E-2</v>
      </c>
      <c r="E58" s="9">
        <v>1.1001720057931E-2</v>
      </c>
      <c r="F58" s="9">
        <v>1.07860000567951</v>
      </c>
      <c r="G58" s="9">
        <v>0.14030947693509899</v>
      </c>
    </row>
    <row r="59" spans="1:7" ht="15.75" customHeight="1" x14ac:dyDescent="0.2">
      <c r="A59" s="4" t="s">
        <v>10</v>
      </c>
      <c r="B59" s="3">
        <v>0</v>
      </c>
      <c r="C59" s="9" t="s">
        <v>45</v>
      </c>
      <c r="D59" s="9">
        <v>1.01E-2</v>
      </c>
      <c r="E59" s="9">
        <v>1.11553176383711E-2</v>
      </c>
      <c r="F59" s="9">
        <v>1.10448689488822</v>
      </c>
      <c r="G59" s="9">
        <v>0.14239012863519701</v>
      </c>
    </row>
    <row r="60" spans="1:7" ht="15.75" customHeight="1" x14ac:dyDescent="0.2">
      <c r="A60" s="5" t="s">
        <v>12</v>
      </c>
      <c r="B60" s="3">
        <v>0.05</v>
      </c>
    </row>
    <row r="61" spans="1:7" ht="15.75" customHeight="1" x14ac:dyDescent="0.2">
      <c r="A61" s="5" t="s">
        <v>13</v>
      </c>
      <c r="B61" s="3">
        <v>0.05</v>
      </c>
    </row>
    <row r="62" spans="1:7" ht="15.75" customHeight="1" x14ac:dyDescent="0.2">
      <c r="A62" s="6" t="s">
        <v>14</v>
      </c>
      <c r="B62" s="3">
        <v>0.1</v>
      </c>
    </row>
    <row r="64" spans="1:7" ht="15.75" customHeight="1" x14ac:dyDescent="0.2">
      <c r="A64" t="s">
        <v>35</v>
      </c>
    </row>
    <row r="65" spans="1:7" ht="15.75" customHeight="1" x14ac:dyDescent="0.2">
      <c r="A65" s="1" t="s">
        <v>6</v>
      </c>
      <c r="B65" s="3">
        <v>0.25</v>
      </c>
      <c r="C65" s="8" t="s">
        <v>38</v>
      </c>
      <c r="D65" s="2">
        <v>1</v>
      </c>
    </row>
    <row r="66" spans="1:7" ht="15.75" customHeight="1" x14ac:dyDescent="0.2">
      <c r="A66" s="1" t="s">
        <v>7</v>
      </c>
      <c r="B66" s="3">
        <v>0.1</v>
      </c>
      <c r="C66" s="8" t="s">
        <v>39</v>
      </c>
      <c r="D66" s="8" t="s">
        <v>40</v>
      </c>
      <c r="E66" s="8" t="s">
        <v>11</v>
      </c>
      <c r="F66" s="8" t="s">
        <v>41</v>
      </c>
      <c r="G66" s="8" t="s">
        <v>42</v>
      </c>
    </row>
    <row r="67" spans="1:7" ht="15.75" customHeight="1" x14ac:dyDescent="0.2">
      <c r="A67" s="1" t="s">
        <v>16</v>
      </c>
      <c r="B67" s="3">
        <v>0.1</v>
      </c>
      <c r="C67" s="8" t="s">
        <v>43</v>
      </c>
      <c r="D67" s="9">
        <v>1.15594741666667E-2</v>
      </c>
      <c r="E67" s="10">
        <v>1.7555988467536102E-2</v>
      </c>
      <c r="F67" s="10">
        <v>1.5187532074911501</v>
      </c>
      <c r="G67" s="9">
        <v>0.23225268815244299</v>
      </c>
    </row>
    <row r="68" spans="1:7" ht="15.75" customHeight="1" x14ac:dyDescent="0.2">
      <c r="A68" s="1" t="s">
        <v>8</v>
      </c>
      <c r="B68" s="3">
        <v>0.1</v>
      </c>
      <c r="C68" s="8" t="s">
        <v>44</v>
      </c>
      <c r="D68" s="10">
        <v>1.0200000000000001E-2</v>
      </c>
      <c r="E68" s="10">
        <v>1.06904744547353E-2</v>
      </c>
      <c r="F68" s="10">
        <v>1.0480857308564</v>
      </c>
      <c r="G68" s="9">
        <v>0.13610395322987001</v>
      </c>
    </row>
    <row r="69" spans="1:7" ht="15.75" customHeight="1" x14ac:dyDescent="0.2">
      <c r="A69" s="1" t="s">
        <v>9</v>
      </c>
      <c r="B69" s="3">
        <v>0.1</v>
      </c>
      <c r="C69" s="8" t="s">
        <v>45</v>
      </c>
      <c r="D69" s="10">
        <v>1.01E-2</v>
      </c>
      <c r="E69" s="10">
        <v>1.1157961291137599E-2</v>
      </c>
      <c r="F69" s="10">
        <v>1.10474864268689</v>
      </c>
      <c r="G69" s="9">
        <v>0.14242597032479401</v>
      </c>
    </row>
    <row r="70" spans="1:7" ht="15.75" customHeight="1" x14ac:dyDescent="0.2">
      <c r="A70" s="4" t="s">
        <v>10</v>
      </c>
      <c r="B70" s="3">
        <v>0</v>
      </c>
    </row>
    <row r="71" spans="1:7" ht="15.75" customHeight="1" x14ac:dyDescent="0.2">
      <c r="A71" s="5" t="s">
        <v>12</v>
      </c>
      <c r="B71" s="3">
        <v>0.08</v>
      </c>
    </row>
    <row r="72" spans="1:7" ht="15.75" customHeight="1" x14ac:dyDescent="0.2">
      <c r="A72" s="5" t="s">
        <v>13</v>
      </c>
      <c r="B72" s="3">
        <v>7.0000000000000007E-2</v>
      </c>
    </row>
    <row r="73" spans="1:7" ht="15.75" customHeight="1" x14ac:dyDescent="0.2">
      <c r="A73" s="6" t="s">
        <v>14</v>
      </c>
      <c r="B73" s="3">
        <v>0.1</v>
      </c>
    </row>
    <row r="74" spans="1:7" ht="15.75" customHeight="1" x14ac:dyDescent="0.2">
      <c r="A74" s="6" t="s">
        <v>17</v>
      </c>
      <c r="B74" s="3">
        <v>0.1</v>
      </c>
    </row>
    <row r="75" spans="1:7" ht="15.75" customHeight="1" x14ac:dyDescent="0.2">
      <c r="A75" s="6" t="s">
        <v>18</v>
      </c>
      <c r="B75" s="3">
        <v>0</v>
      </c>
    </row>
    <row r="77" spans="1:7" ht="15.75" customHeight="1" x14ac:dyDescent="0.2">
      <c r="A77" t="s">
        <v>36</v>
      </c>
    </row>
    <row r="78" spans="1:7" ht="15.75" customHeight="1" x14ac:dyDescent="0.2">
      <c r="A78" s="1" t="s">
        <v>6</v>
      </c>
      <c r="B78" s="3">
        <v>0.15</v>
      </c>
      <c r="C78" s="9" t="s">
        <v>38</v>
      </c>
      <c r="D78" s="9">
        <v>1</v>
      </c>
      <c r="E78" s="9"/>
      <c r="F78" s="9"/>
      <c r="G78" s="9"/>
    </row>
    <row r="79" spans="1:7" ht="15.75" customHeight="1" x14ac:dyDescent="0.2">
      <c r="A79" s="1" t="s">
        <v>7</v>
      </c>
      <c r="B79" s="3">
        <v>0.1</v>
      </c>
      <c r="C79" s="9" t="s">
        <v>39</v>
      </c>
      <c r="D79" s="9" t="s">
        <v>40</v>
      </c>
      <c r="E79" s="9" t="s">
        <v>11</v>
      </c>
      <c r="F79" s="9" t="s">
        <v>41</v>
      </c>
      <c r="G79" s="9" t="s">
        <v>42</v>
      </c>
    </row>
    <row r="80" spans="1:7" ht="15.75" customHeight="1" x14ac:dyDescent="0.2">
      <c r="A80" s="1" t="s">
        <v>16</v>
      </c>
      <c r="B80" s="3">
        <v>0.1</v>
      </c>
      <c r="C80" s="9" t="s">
        <v>43</v>
      </c>
      <c r="D80" s="9">
        <v>1.15594741666667E-2</v>
      </c>
      <c r="E80" s="9">
        <v>1.9614409060717399E-2</v>
      </c>
      <c r="F80" s="9">
        <v>1.69682537266947</v>
      </c>
      <c r="G80" s="9">
        <v>0.26250053496866799</v>
      </c>
    </row>
    <row r="81" spans="1:7" ht="15.75" customHeight="1" x14ac:dyDescent="0.2">
      <c r="A81" s="1" t="s">
        <v>8</v>
      </c>
      <c r="B81" s="3">
        <v>0.1</v>
      </c>
      <c r="C81" s="9" t="s">
        <v>44</v>
      </c>
      <c r="D81" s="9">
        <v>1.0200000000000001E-2</v>
      </c>
      <c r="E81" s="9">
        <v>1.1013786221127E-2</v>
      </c>
      <c r="F81" s="9">
        <v>1.0797829628555899</v>
      </c>
      <c r="G81" s="9">
        <v>0.140472800852524</v>
      </c>
    </row>
    <row r="82" spans="1:7" ht="15.75" customHeight="1" x14ac:dyDescent="0.2">
      <c r="A82" s="1" t="s">
        <v>9</v>
      </c>
      <c r="B82" s="3">
        <v>0.1</v>
      </c>
      <c r="C82" s="9" t="s">
        <v>45</v>
      </c>
      <c r="D82" s="9">
        <v>1.01E-2</v>
      </c>
      <c r="E82" s="9">
        <v>1.1612551867558E-2</v>
      </c>
      <c r="F82" s="9">
        <v>1.1497576106492999</v>
      </c>
      <c r="G82" s="9">
        <v>0.148604496339447</v>
      </c>
    </row>
    <row r="83" spans="1:7" ht="15.75" customHeight="1" x14ac:dyDescent="0.2">
      <c r="A83" s="4" t="s">
        <v>10</v>
      </c>
      <c r="B83" s="3">
        <v>0</v>
      </c>
    </row>
    <row r="84" spans="1:7" ht="15.75" customHeight="1" x14ac:dyDescent="0.2">
      <c r="A84" s="5" t="s">
        <v>12</v>
      </c>
      <c r="B84" s="3">
        <v>0.1</v>
      </c>
    </row>
    <row r="85" spans="1:7" ht="15.75" customHeight="1" x14ac:dyDescent="0.2">
      <c r="A85" s="5" t="s">
        <v>13</v>
      </c>
      <c r="B85" s="3">
        <v>0.1</v>
      </c>
    </row>
    <row r="86" spans="1:7" ht="15.75" customHeight="1" x14ac:dyDescent="0.2">
      <c r="A86" s="6" t="s">
        <v>14</v>
      </c>
      <c r="B86" s="3">
        <v>0.15</v>
      </c>
    </row>
    <row r="87" spans="1:7" ht="15.75" customHeight="1" x14ac:dyDescent="0.2">
      <c r="A87" s="6" t="s">
        <v>17</v>
      </c>
      <c r="B87" s="3">
        <v>0.1</v>
      </c>
    </row>
    <row r="88" spans="1:7" ht="15.75" customHeight="1" x14ac:dyDescent="0.2">
      <c r="A88" s="6" t="s">
        <v>18</v>
      </c>
      <c r="B88" s="3">
        <v>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6"/>
  <sheetViews>
    <sheetView tabSelected="1" zoomScaleNormal="100" workbookViewId="0">
      <selection activeCell="A75" sqref="A75"/>
    </sheetView>
  </sheetViews>
  <sheetFormatPr baseColWidth="10" defaultColWidth="10.5" defaultRowHeight="15.75" customHeight="1" x14ac:dyDescent="0.2"/>
  <cols>
    <col min="1" max="1" width="64.6640625" customWidth="1"/>
  </cols>
  <sheetData>
    <row r="1" spans="1:8" ht="15.75" customHeight="1" x14ac:dyDescent="0.2">
      <c r="A1" t="s">
        <v>0</v>
      </c>
      <c r="B1" t="s">
        <v>1</v>
      </c>
      <c r="C1" t="s">
        <v>2</v>
      </c>
      <c r="D1" t="s">
        <v>3</v>
      </c>
    </row>
    <row r="2" spans="1:8" ht="15.75" customHeight="1" x14ac:dyDescent="0.2">
      <c r="A2" s="1" t="s">
        <v>4</v>
      </c>
      <c r="B2">
        <v>1</v>
      </c>
      <c r="C2" s="2">
        <v>1</v>
      </c>
      <c r="D2" t="s">
        <v>5</v>
      </c>
    </row>
    <row r="3" spans="1:8" ht="15.75" customHeight="1" x14ac:dyDescent="0.2">
      <c r="A3" s="1" t="s">
        <v>6</v>
      </c>
      <c r="B3">
        <v>2</v>
      </c>
      <c r="C3" s="2">
        <v>0.9</v>
      </c>
    </row>
    <row r="4" spans="1:8" ht="15.75" customHeight="1" x14ac:dyDescent="0.2">
      <c r="A4" s="1" t="s">
        <v>7</v>
      </c>
      <c r="B4">
        <v>2</v>
      </c>
      <c r="C4" s="2">
        <v>0.02</v>
      </c>
      <c r="G4" s="12"/>
      <c r="H4" s="12"/>
    </row>
    <row r="5" spans="1:8" ht="15.75" customHeight="1" x14ac:dyDescent="0.2">
      <c r="A5" s="1" t="s">
        <v>50</v>
      </c>
      <c r="B5">
        <v>2</v>
      </c>
      <c r="C5" s="2">
        <v>0.02</v>
      </c>
    </row>
    <row r="6" spans="1:8" ht="15.75" customHeight="1" x14ac:dyDescent="0.2">
      <c r="A6" s="1" t="s">
        <v>51</v>
      </c>
      <c r="B6">
        <v>2</v>
      </c>
      <c r="C6" s="2">
        <v>0.02</v>
      </c>
    </row>
    <row r="7" spans="1:8" ht="15.75" customHeight="1" x14ac:dyDescent="0.2">
      <c r="A7" s="4" t="s">
        <v>10</v>
      </c>
      <c r="B7">
        <v>2</v>
      </c>
      <c r="C7" s="2">
        <v>0.04</v>
      </c>
    </row>
    <row r="8" spans="1:8" ht="15.75" customHeight="1" x14ac:dyDescent="0.2">
      <c r="A8" s="1" t="s">
        <v>6</v>
      </c>
      <c r="B8">
        <v>3</v>
      </c>
      <c r="C8" s="3">
        <v>0.8</v>
      </c>
      <c r="D8" t="s">
        <v>11</v>
      </c>
    </row>
    <row r="9" spans="1:8" ht="15.75" customHeight="1" x14ac:dyDescent="0.2">
      <c r="A9" s="1" t="s">
        <v>7</v>
      </c>
      <c r="B9">
        <v>3</v>
      </c>
      <c r="C9" s="3">
        <v>0.03</v>
      </c>
      <c r="D9" t="s">
        <v>11</v>
      </c>
    </row>
    <row r="10" spans="1:8" ht="15.75" customHeight="1" x14ac:dyDescent="0.2">
      <c r="A10" s="1" t="s">
        <v>50</v>
      </c>
      <c r="B10">
        <v>3</v>
      </c>
      <c r="C10" s="3">
        <v>0.05</v>
      </c>
      <c r="D10" t="s">
        <v>11</v>
      </c>
    </row>
    <row r="11" spans="1:8" ht="15.75" customHeight="1" x14ac:dyDescent="0.2">
      <c r="A11" s="1" t="s">
        <v>51</v>
      </c>
      <c r="B11">
        <v>3</v>
      </c>
      <c r="C11" s="3">
        <v>0.05</v>
      </c>
      <c r="D11" t="s">
        <v>11</v>
      </c>
    </row>
    <row r="12" spans="1:8" ht="15.75" customHeight="1" x14ac:dyDescent="0.2">
      <c r="A12" s="4" t="s">
        <v>10</v>
      </c>
      <c r="B12">
        <v>3</v>
      </c>
      <c r="C12" s="3">
        <v>7.0000000000000007E-2</v>
      </c>
      <c r="D12" t="s">
        <v>11</v>
      </c>
    </row>
    <row r="13" spans="1:8" ht="15.75" customHeight="1" x14ac:dyDescent="0.2">
      <c r="A13" s="1" t="s">
        <v>6</v>
      </c>
      <c r="B13">
        <v>4</v>
      </c>
      <c r="C13" s="2">
        <v>0.65</v>
      </c>
    </row>
    <row r="14" spans="1:8" ht="15.75" customHeight="1" x14ac:dyDescent="0.2">
      <c r="A14" s="1" t="s">
        <v>7</v>
      </c>
      <c r="B14">
        <v>4</v>
      </c>
      <c r="C14" s="2">
        <v>0.04</v>
      </c>
    </row>
    <row r="15" spans="1:8" ht="15.75" customHeight="1" x14ac:dyDescent="0.2">
      <c r="A15" s="1" t="s">
        <v>50</v>
      </c>
      <c r="B15">
        <v>4</v>
      </c>
      <c r="C15" s="2">
        <v>0.05</v>
      </c>
    </row>
    <row r="16" spans="1:8" ht="15.75" customHeight="1" x14ac:dyDescent="0.2">
      <c r="A16" s="1" t="s">
        <v>51</v>
      </c>
      <c r="B16">
        <v>4</v>
      </c>
      <c r="C16" s="2">
        <v>0.05</v>
      </c>
    </row>
    <row r="17" spans="1:4" ht="15.75" customHeight="1" x14ac:dyDescent="0.2">
      <c r="A17" s="4" t="s">
        <v>10</v>
      </c>
      <c r="B17">
        <v>4</v>
      </c>
      <c r="C17" s="2">
        <v>0.06</v>
      </c>
    </row>
    <row r="18" spans="1:4" ht="15.75" customHeight="1" x14ac:dyDescent="0.2">
      <c r="A18" s="4" t="s">
        <v>52</v>
      </c>
      <c r="B18">
        <v>4</v>
      </c>
      <c r="C18" s="2">
        <v>0.03</v>
      </c>
    </row>
    <row r="19" spans="1:4" ht="15.75" customHeight="1" x14ac:dyDescent="0.2">
      <c r="A19" s="5" t="s">
        <v>12</v>
      </c>
      <c r="B19">
        <v>4</v>
      </c>
      <c r="C19" s="2">
        <v>0.03</v>
      </c>
    </row>
    <row r="20" spans="1:4" ht="15.75" customHeight="1" x14ac:dyDescent="0.2">
      <c r="A20" s="5" t="s">
        <v>13</v>
      </c>
      <c r="B20">
        <v>4</v>
      </c>
      <c r="C20" s="2">
        <v>0.03</v>
      </c>
    </row>
    <row r="21" spans="1:4" ht="15.75" customHeight="1" x14ac:dyDescent="0.2">
      <c r="A21" s="5" t="s">
        <v>53</v>
      </c>
      <c r="B21">
        <v>4</v>
      </c>
      <c r="C21" s="2">
        <v>0.03</v>
      </c>
    </row>
    <row r="22" spans="1:4" ht="15.75" customHeight="1" x14ac:dyDescent="0.2">
      <c r="A22" s="6" t="s">
        <v>54</v>
      </c>
      <c r="B22">
        <v>4</v>
      </c>
      <c r="C22" s="2">
        <v>0.03</v>
      </c>
    </row>
    <row r="23" spans="1:4" ht="15.75" customHeight="1" x14ac:dyDescent="0.2">
      <c r="A23" s="1" t="s">
        <v>6</v>
      </c>
      <c r="B23">
        <v>5</v>
      </c>
      <c r="C23" s="3">
        <v>0.5</v>
      </c>
      <c r="D23" t="s">
        <v>46</v>
      </c>
    </row>
    <row r="24" spans="1:4" ht="15.75" customHeight="1" x14ac:dyDescent="0.2">
      <c r="A24" s="1" t="s">
        <v>7</v>
      </c>
      <c r="B24">
        <v>5</v>
      </c>
      <c r="C24" s="3">
        <v>0.04</v>
      </c>
      <c r="D24" t="s">
        <v>46</v>
      </c>
    </row>
    <row r="25" spans="1:4" ht="15.75" customHeight="1" x14ac:dyDescent="0.2">
      <c r="A25" s="1" t="s">
        <v>50</v>
      </c>
      <c r="B25">
        <v>5</v>
      </c>
      <c r="C25" s="3">
        <v>7.0000000000000007E-2</v>
      </c>
      <c r="D25" t="s">
        <v>46</v>
      </c>
    </row>
    <row r="26" spans="1:4" ht="15.75" customHeight="1" x14ac:dyDescent="0.2">
      <c r="A26" s="1" t="s">
        <v>51</v>
      </c>
      <c r="B26">
        <v>5</v>
      </c>
      <c r="C26" s="3">
        <v>0.06</v>
      </c>
      <c r="D26" t="s">
        <v>46</v>
      </c>
    </row>
    <row r="27" spans="1:4" ht="15.75" customHeight="1" x14ac:dyDescent="0.2">
      <c r="A27" s="4" t="s">
        <v>10</v>
      </c>
      <c r="B27">
        <v>5</v>
      </c>
      <c r="C27" s="3">
        <v>0.09</v>
      </c>
      <c r="D27" t="s">
        <v>46</v>
      </c>
    </row>
    <row r="28" spans="1:4" ht="15.75" customHeight="1" x14ac:dyDescent="0.2">
      <c r="A28" s="4" t="s">
        <v>52</v>
      </c>
      <c r="B28">
        <v>5</v>
      </c>
      <c r="C28" s="3">
        <v>0.06</v>
      </c>
      <c r="D28" t="s">
        <v>46</v>
      </c>
    </row>
    <row r="29" spans="1:4" ht="15.75" customHeight="1" x14ac:dyDescent="0.2">
      <c r="A29" s="5" t="s">
        <v>12</v>
      </c>
      <c r="B29">
        <v>5</v>
      </c>
      <c r="C29" s="3">
        <v>0.04</v>
      </c>
      <c r="D29" t="s">
        <v>46</v>
      </c>
    </row>
    <row r="30" spans="1:4" ht="15.75" customHeight="1" x14ac:dyDescent="0.2">
      <c r="A30" s="5" t="s">
        <v>13</v>
      </c>
      <c r="B30">
        <v>5</v>
      </c>
      <c r="C30" s="3">
        <v>0.05</v>
      </c>
      <c r="D30" t="s">
        <v>46</v>
      </c>
    </row>
    <row r="31" spans="1:4" ht="15.75" customHeight="1" x14ac:dyDescent="0.2">
      <c r="A31" s="5" t="s">
        <v>53</v>
      </c>
      <c r="B31">
        <v>5</v>
      </c>
      <c r="C31" s="3">
        <v>0.05</v>
      </c>
      <c r="D31" t="s">
        <v>46</v>
      </c>
    </row>
    <row r="32" spans="1:4" ht="15.75" customHeight="1" x14ac:dyDescent="0.2">
      <c r="A32" s="6" t="s">
        <v>54</v>
      </c>
      <c r="B32">
        <v>5</v>
      </c>
      <c r="C32" s="3">
        <v>0.04</v>
      </c>
      <c r="D32" t="s">
        <v>46</v>
      </c>
    </row>
    <row r="33" spans="1:10" ht="15.75" customHeight="1" x14ac:dyDescent="0.2">
      <c r="A33" s="1" t="s">
        <v>6</v>
      </c>
      <c r="B33">
        <v>6</v>
      </c>
      <c r="C33" s="2">
        <v>0.38</v>
      </c>
      <c r="I33" s="12"/>
      <c r="J33" s="12"/>
    </row>
    <row r="34" spans="1:10" ht="15.75" customHeight="1" x14ac:dyDescent="0.2">
      <c r="A34" s="1" t="s">
        <v>7</v>
      </c>
      <c r="B34">
        <v>6</v>
      </c>
      <c r="C34" s="2">
        <v>0.04</v>
      </c>
    </row>
    <row r="35" spans="1:10" ht="15.75" customHeight="1" x14ac:dyDescent="0.2">
      <c r="A35" s="1" t="s">
        <v>50</v>
      </c>
      <c r="B35">
        <v>6</v>
      </c>
      <c r="C35" s="2">
        <v>0.08</v>
      </c>
    </row>
    <row r="36" spans="1:10" ht="15.75" customHeight="1" x14ac:dyDescent="0.2">
      <c r="A36" s="1" t="s">
        <v>55</v>
      </c>
      <c r="B36">
        <v>6</v>
      </c>
      <c r="C36" s="2">
        <v>0.03</v>
      </c>
    </row>
    <row r="37" spans="1:10" ht="15.75" customHeight="1" x14ac:dyDescent="0.2">
      <c r="A37" s="1" t="s">
        <v>51</v>
      </c>
      <c r="B37">
        <v>6</v>
      </c>
      <c r="C37" s="2">
        <v>0.06</v>
      </c>
    </row>
    <row r="38" spans="1:10" ht="15.75" customHeight="1" x14ac:dyDescent="0.2">
      <c r="A38" s="4" t="s">
        <v>10</v>
      </c>
      <c r="B38">
        <v>6</v>
      </c>
      <c r="C38" s="2">
        <v>7.0000000000000007E-2</v>
      </c>
    </row>
    <row r="39" spans="1:10" ht="15.75" customHeight="1" x14ac:dyDescent="0.2">
      <c r="A39" s="4" t="s">
        <v>52</v>
      </c>
      <c r="B39">
        <v>6</v>
      </c>
      <c r="C39" s="2">
        <v>0.05</v>
      </c>
    </row>
    <row r="40" spans="1:10" ht="15.75" customHeight="1" x14ac:dyDescent="0.2">
      <c r="A40" s="5" t="s">
        <v>12</v>
      </c>
      <c r="B40">
        <v>6</v>
      </c>
      <c r="C40" s="2">
        <v>0.05</v>
      </c>
    </row>
    <row r="41" spans="1:10" ht="15.75" customHeight="1" x14ac:dyDescent="0.2">
      <c r="A41" s="5" t="s">
        <v>13</v>
      </c>
      <c r="B41">
        <v>6</v>
      </c>
      <c r="C41" s="2">
        <v>0.05</v>
      </c>
    </row>
    <row r="42" spans="1:10" ht="15.75" customHeight="1" x14ac:dyDescent="0.2">
      <c r="A42" s="5" t="s">
        <v>53</v>
      </c>
      <c r="B42">
        <v>6</v>
      </c>
      <c r="C42" s="2">
        <v>0.04</v>
      </c>
    </row>
    <row r="43" spans="1:10" ht="15.75" customHeight="1" x14ac:dyDescent="0.2">
      <c r="A43" s="6" t="s">
        <v>56</v>
      </c>
      <c r="B43">
        <v>6</v>
      </c>
      <c r="C43" s="2">
        <v>0.04</v>
      </c>
    </row>
    <row r="44" spans="1:10" ht="15.75" customHeight="1" x14ac:dyDescent="0.2">
      <c r="A44" s="6" t="s">
        <v>14</v>
      </c>
      <c r="B44">
        <v>6</v>
      </c>
      <c r="C44" s="2">
        <v>0.03</v>
      </c>
    </row>
    <row r="45" spans="1:10" ht="15.75" customHeight="1" x14ac:dyDescent="0.2">
      <c r="A45" s="6" t="s">
        <v>18</v>
      </c>
      <c r="B45">
        <v>6</v>
      </c>
      <c r="C45" s="2">
        <v>0.04</v>
      </c>
    </row>
    <row r="46" spans="1:10" ht="15.75" customHeight="1" x14ac:dyDescent="0.2">
      <c r="A46" s="6" t="s">
        <v>54</v>
      </c>
      <c r="B46">
        <v>6</v>
      </c>
      <c r="C46" s="2">
        <v>0.04</v>
      </c>
    </row>
    <row r="47" spans="1:10" ht="15.75" customHeight="1" x14ac:dyDescent="0.2">
      <c r="A47" s="1" t="s">
        <v>6</v>
      </c>
      <c r="B47">
        <v>7</v>
      </c>
      <c r="C47" s="3">
        <v>0.25</v>
      </c>
      <c r="D47" t="s">
        <v>19</v>
      </c>
    </row>
    <row r="48" spans="1:10" ht="15.75" customHeight="1" x14ac:dyDescent="0.2">
      <c r="A48" s="1" t="s">
        <v>7</v>
      </c>
      <c r="B48">
        <v>7</v>
      </c>
      <c r="C48" s="3">
        <v>0.04</v>
      </c>
      <c r="D48" t="s">
        <v>19</v>
      </c>
    </row>
    <row r="49" spans="1:7" ht="15.75" customHeight="1" x14ac:dyDescent="0.2">
      <c r="A49" s="1" t="s">
        <v>50</v>
      </c>
      <c r="B49">
        <v>7</v>
      </c>
      <c r="C49" s="3">
        <v>0.1</v>
      </c>
      <c r="D49" t="s">
        <v>19</v>
      </c>
    </row>
    <row r="50" spans="1:7" ht="15.75" customHeight="1" x14ac:dyDescent="0.2">
      <c r="A50" s="1" t="s">
        <v>55</v>
      </c>
      <c r="B50">
        <v>7</v>
      </c>
      <c r="C50" s="3">
        <v>0.03</v>
      </c>
      <c r="D50" t="s">
        <v>19</v>
      </c>
    </row>
    <row r="51" spans="1:7" ht="15.75" customHeight="1" x14ac:dyDescent="0.2">
      <c r="A51" s="1" t="s">
        <v>51</v>
      </c>
      <c r="B51">
        <v>7</v>
      </c>
      <c r="C51" s="3">
        <v>0.06</v>
      </c>
      <c r="D51" t="s">
        <v>19</v>
      </c>
    </row>
    <row r="52" spans="1:7" ht="15.75" customHeight="1" x14ac:dyDescent="0.2">
      <c r="A52" s="4" t="s">
        <v>10</v>
      </c>
      <c r="B52">
        <v>7</v>
      </c>
      <c r="C52" s="3">
        <v>0.09</v>
      </c>
      <c r="D52" t="s">
        <v>19</v>
      </c>
    </row>
    <row r="53" spans="1:7" ht="15.75" customHeight="1" x14ac:dyDescent="0.2">
      <c r="A53" s="4" t="s">
        <v>52</v>
      </c>
      <c r="B53">
        <v>7</v>
      </c>
      <c r="C53" s="3">
        <v>0.05</v>
      </c>
      <c r="D53" t="s">
        <v>19</v>
      </c>
    </row>
    <row r="54" spans="1:7" ht="15.75" customHeight="1" x14ac:dyDescent="0.2">
      <c r="A54" s="5" t="s">
        <v>12</v>
      </c>
      <c r="B54">
        <v>7</v>
      </c>
      <c r="C54" s="3">
        <v>0.06</v>
      </c>
      <c r="D54" t="s">
        <v>19</v>
      </c>
    </row>
    <row r="55" spans="1:7" ht="15.75" customHeight="1" x14ac:dyDescent="0.2">
      <c r="A55" s="5" t="s">
        <v>13</v>
      </c>
      <c r="B55">
        <v>7</v>
      </c>
      <c r="C55" s="3">
        <v>0.06</v>
      </c>
      <c r="D55" t="s">
        <v>19</v>
      </c>
    </row>
    <row r="56" spans="1:7" ht="15.75" customHeight="1" x14ac:dyDescent="0.2">
      <c r="A56" s="5" t="s">
        <v>53</v>
      </c>
      <c r="B56">
        <v>7</v>
      </c>
      <c r="C56" s="3">
        <v>0.05</v>
      </c>
      <c r="D56" t="s">
        <v>19</v>
      </c>
    </row>
    <row r="57" spans="1:7" ht="15.75" customHeight="1" x14ac:dyDescent="0.2">
      <c r="A57" s="6" t="s">
        <v>56</v>
      </c>
      <c r="B57">
        <v>7</v>
      </c>
      <c r="C57" s="3">
        <v>0.06</v>
      </c>
      <c r="D57" t="s">
        <v>19</v>
      </c>
    </row>
    <row r="58" spans="1:7" ht="15.75" customHeight="1" x14ac:dyDescent="0.2">
      <c r="A58" s="6" t="s">
        <v>14</v>
      </c>
      <c r="B58">
        <v>7</v>
      </c>
      <c r="C58" s="3">
        <v>0.05</v>
      </c>
      <c r="D58" t="s">
        <v>19</v>
      </c>
    </row>
    <row r="59" spans="1:7" ht="15.75" customHeight="1" x14ac:dyDescent="0.2">
      <c r="A59" s="6" t="s">
        <v>18</v>
      </c>
      <c r="B59">
        <v>7</v>
      </c>
      <c r="C59" s="3">
        <v>0.05</v>
      </c>
      <c r="D59" t="s">
        <v>19</v>
      </c>
    </row>
    <row r="60" spans="1:7" ht="15.75" customHeight="1" x14ac:dyDescent="0.2">
      <c r="A60" s="6" t="s">
        <v>54</v>
      </c>
      <c r="B60">
        <v>7</v>
      </c>
      <c r="C60" s="3">
        <v>0.05</v>
      </c>
      <c r="D60" t="s">
        <v>19</v>
      </c>
    </row>
    <row r="61" spans="1:7" ht="15.75" customHeight="1" x14ac:dyDescent="0.2">
      <c r="A61" s="1" t="s">
        <v>6</v>
      </c>
      <c r="B61">
        <v>8</v>
      </c>
      <c r="C61" s="2">
        <v>0.18</v>
      </c>
      <c r="F61" s="12"/>
      <c r="G61" s="12"/>
    </row>
    <row r="62" spans="1:7" ht="15.75" customHeight="1" x14ac:dyDescent="0.2">
      <c r="A62" s="1" t="s">
        <v>7</v>
      </c>
      <c r="B62">
        <v>8</v>
      </c>
      <c r="C62" s="2">
        <v>0.04</v>
      </c>
    </row>
    <row r="63" spans="1:7" ht="15.75" customHeight="1" x14ac:dyDescent="0.2">
      <c r="A63" s="1" t="s">
        <v>50</v>
      </c>
      <c r="B63">
        <v>8</v>
      </c>
      <c r="C63" s="2">
        <v>0.1</v>
      </c>
    </row>
    <row r="64" spans="1:7" ht="15.75" customHeight="1" x14ac:dyDescent="0.2">
      <c r="A64" s="1" t="s">
        <v>55</v>
      </c>
      <c r="B64">
        <v>8</v>
      </c>
      <c r="C64" s="2">
        <v>0.03</v>
      </c>
    </row>
    <row r="65" spans="1:4" ht="15.75" customHeight="1" x14ac:dyDescent="0.2">
      <c r="A65" s="1" t="s">
        <v>51</v>
      </c>
      <c r="B65">
        <v>8</v>
      </c>
      <c r="C65" s="2">
        <v>0.06</v>
      </c>
    </row>
    <row r="66" spans="1:4" ht="15.75" customHeight="1" x14ac:dyDescent="0.2">
      <c r="A66" s="4" t="s">
        <v>10</v>
      </c>
      <c r="B66">
        <v>8</v>
      </c>
      <c r="C66" s="2">
        <v>0.09</v>
      </c>
    </row>
    <row r="67" spans="1:4" ht="15.75" customHeight="1" x14ac:dyDescent="0.2">
      <c r="A67" s="4" t="s">
        <v>52</v>
      </c>
      <c r="B67">
        <v>8</v>
      </c>
      <c r="C67" s="2">
        <v>7.0000000000000007E-2</v>
      </c>
    </row>
    <row r="68" spans="1:4" ht="15.75" customHeight="1" x14ac:dyDescent="0.2">
      <c r="A68" s="5" t="s">
        <v>12</v>
      </c>
      <c r="B68">
        <v>8</v>
      </c>
      <c r="C68" s="2">
        <v>0.05</v>
      </c>
    </row>
    <row r="69" spans="1:4" ht="15.75" customHeight="1" x14ac:dyDescent="0.2">
      <c r="A69" s="5" t="s">
        <v>13</v>
      </c>
      <c r="B69">
        <v>8</v>
      </c>
      <c r="C69" s="2">
        <v>0.06</v>
      </c>
    </row>
    <row r="70" spans="1:4" ht="15.75" customHeight="1" x14ac:dyDescent="0.2">
      <c r="A70" s="5" t="s">
        <v>53</v>
      </c>
      <c r="B70">
        <v>8</v>
      </c>
      <c r="C70" s="2">
        <v>0.06</v>
      </c>
    </row>
    <row r="71" spans="1:4" ht="15.75" customHeight="1" x14ac:dyDescent="0.2">
      <c r="A71" s="6" t="s">
        <v>56</v>
      </c>
      <c r="B71">
        <v>8</v>
      </c>
      <c r="C71" s="2">
        <v>0.08</v>
      </c>
    </row>
    <row r="72" spans="1:4" ht="15.75" customHeight="1" x14ac:dyDescent="0.2">
      <c r="A72" s="6" t="s">
        <v>14</v>
      </c>
      <c r="B72">
        <v>8</v>
      </c>
      <c r="C72" s="2">
        <v>0.06</v>
      </c>
    </row>
    <row r="73" spans="1:4" ht="15.75" customHeight="1" x14ac:dyDescent="0.2">
      <c r="A73" s="6" t="s">
        <v>18</v>
      </c>
      <c r="B73">
        <v>8</v>
      </c>
      <c r="C73" s="2">
        <v>0.06</v>
      </c>
    </row>
    <row r="74" spans="1:4" ht="15.75" customHeight="1" x14ac:dyDescent="0.2">
      <c r="A74" s="6" t="s">
        <v>54</v>
      </c>
      <c r="B74">
        <v>8</v>
      </c>
      <c r="C74" s="2">
        <v>0.06</v>
      </c>
    </row>
    <row r="75" spans="1:4" ht="15.75" customHeight="1" x14ac:dyDescent="0.2">
      <c r="A75" s="1" t="s">
        <v>6</v>
      </c>
      <c r="B75">
        <v>9</v>
      </c>
      <c r="C75" s="3">
        <v>0.12</v>
      </c>
      <c r="D75" t="s">
        <v>20</v>
      </c>
    </row>
    <row r="76" spans="1:4" ht="15.75" customHeight="1" x14ac:dyDescent="0.2">
      <c r="A76" s="1" t="s">
        <v>7</v>
      </c>
      <c r="B76">
        <v>9</v>
      </c>
      <c r="C76" s="3">
        <v>0.04</v>
      </c>
      <c r="D76" t="s">
        <v>20</v>
      </c>
    </row>
    <row r="77" spans="1:4" ht="15.75" customHeight="1" x14ac:dyDescent="0.2">
      <c r="A77" s="1" t="s">
        <v>50</v>
      </c>
      <c r="B77">
        <v>9</v>
      </c>
      <c r="C77" s="3">
        <v>0.1</v>
      </c>
      <c r="D77" t="s">
        <v>20</v>
      </c>
    </row>
    <row r="78" spans="1:4" ht="15.75" customHeight="1" x14ac:dyDescent="0.2">
      <c r="A78" s="1" t="s">
        <v>55</v>
      </c>
      <c r="B78">
        <v>9</v>
      </c>
      <c r="C78" s="3">
        <v>0.03</v>
      </c>
      <c r="D78" t="s">
        <v>20</v>
      </c>
    </row>
    <row r="79" spans="1:4" ht="15.75" customHeight="1" x14ac:dyDescent="0.2">
      <c r="A79" s="1" t="s">
        <v>51</v>
      </c>
      <c r="B79">
        <v>9</v>
      </c>
      <c r="C79" s="3">
        <v>0.06</v>
      </c>
      <c r="D79" t="s">
        <v>20</v>
      </c>
    </row>
    <row r="80" spans="1:4" ht="15.75" customHeight="1" x14ac:dyDescent="0.2">
      <c r="A80" s="4" t="s">
        <v>10</v>
      </c>
      <c r="B80">
        <v>9</v>
      </c>
      <c r="C80" s="3">
        <v>0.09</v>
      </c>
      <c r="D80" t="s">
        <v>20</v>
      </c>
    </row>
    <row r="81" spans="1:4" ht="15.75" customHeight="1" x14ac:dyDescent="0.2">
      <c r="A81" s="4" t="s">
        <v>52</v>
      </c>
      <c r="B81">
        <v>9</v>
      </c>
      <c r="C81" s="3">
        <v>0.08</v>
      </c>
      <c r="D81" t="s">
        <v>20</v>
      </c>
    </row>
    <row r="82" spans="1:4" ht="15.75" customHeight="1" x14ac:dyDescent="0.2">
      <c r="A82" s="5" t="s">
        <v>12</v>
      </c>
      <c r="B82">
        <v>9</v>
      </c>
      <c r="C82" s="3">
        <v>0.04</v>
      </c>
      <c r="D82" t="s">
        <v>20</v>
      </c>
    </row>
    <row r="83" spans="1:4" ht="15.75" customHeight="1" x14ac:dyDescent="0.2">
      <c r="A83" s="5" t="s">
        <v>13</v>
      </c>
      <c r="B83">
        <v>9</v>
      </c>
      <c r="C83" s="3">
        <v>0.06</v>
      </c>
      <c r="D83" t="s">
        <v>20</v>
      </c>
    </row>
    <row r="84" spans="1:4" ht="15.75" customHeight="1" x14ac:dyDescent="0.2">
      <c r="A84" s="5" t="s">
        <v>53</v>
      </c>
      <c r="B84">
        <v>9</v>
      </c>
      <c r="C84" s="3">
        <v>7.0000000000000007E-2</v>
      </c>
      <c r="D84" t="s">
        <v>20</v>
      </c>
    </row>
    <row r="85" spans="1:4" ht="15.75" customHeight="1" x14ac:dyDescent="0.2">
      <c r="A85" s="6" t="s">
        <v>56</v>
      </c>
      <c r="B85">
        <v>9</v>
      </c>
      <c r="C85" s="3">
        <v>0.1</v>
      </c>
      <c r="D85" t="s">
        <v>20</v>
      </c>
    </row>
    <row r="86" spans="1:4" ht="15.75" customHeight="1" x14ac:dyDescent="0.2">
      <c r="A86" s="6" t="s">
        <v>14</v>
      </c>
      <c r="B86">
        <v>9</v>
      </c>
      <c r="C86" s="3">
        <v>7.0000000000000007E-2</v>
      </c>
      <c r="D86" t="s">
        <v>20</v>
      </c>
    </row>
    <row r="87" spans="1:4" ht="15.75" customHeight="1" x14ac:dyDescent="0.2">
      <c r="A87" s="6" t="s">
        <v>18</v>
      </c>
      <c r="B87">
        <v>9</v>
      </c>
      <c r="C87" s="3">
        <v>7.0000000000000007E-2</v>
      </c>
      <c r="D87" t="s">
        <v>20</v>
      </c>
    </row>
    <row r="88" spans="1:4" ht="15.75" customHeight="1" x14ac:dyDescent="0.2">
      <c r="A88" s="6" t="s">
        <v>54</v>
      </c>
      <c r="B88">
        <v>9</v>
      </c>
      <c r="C88" s="3">
        <v>7.0000000000000007E-2</v>
      </c>
      <c r="D88" t="s">
        <v>20</v>
      </c>
    </row>
    <row r="91" spans="1:4" ht="15.75" customHeight="1" x14ac:dyDescent="0.2">
      <c r="A91" t="s">
        <v>3</v>
      </c>
      <c r="B91" t="s">
        <v>21</v>
      </c>
      <c r="C91" t="s">
        <v>22</v>
      </c>
      <c r="D91" t="s">
        <v>23</v>
      </c>
    </row>
    <row r="92" spans="1:4" ht="15.75" customHeight="1" x14ac:dyDescent="0.2">
      <c r="A92" t="s">
        <v>24</v>
      </c>
      <c r="B92">
        <v>1</v>
      </c>
      <c r="C92" s="2">
        <v>1</v>
      </c>
      <c r="D92" t="s">
        <v>5</v>
      </c>
    </row>
    <row r="94" spans="1:4" ht="15.75" customHeight="1" x14ac:dyDescent="0.2">
      <c r="A94" t="s">
        <v>24</v>
      </c>
      <c r="B94">
        <v>2</v>
      </c>
      <c r="C94" s="2">
        <v>0.9</v>
      </c>
    </row>
    <row r="95" spans="1:4" ht="15.75" customHeight="1" x14ac:dyDescent="0.2">
      <c r="A95" t="s">
        <v>25</v>
      </c>
      <c r="B95">
        <v>2</v>
      </c>
      <c r="C95" s="2">
        <v>0.1</v>
      </c>
    </row>
    <row r="97" spans="1:4" ht="15.75" customHeight="1" x14ac:dyDescent="0.2">
      <c r="A97" t="s">
        <v>24</v>
      </c>
      <c r="B97">
        <v>3</v>
      </c>
      <c r="C97" s="2">
        <v>0.7</v>
      </c>
      <c r="D97" t="s">
        <v>57</v>
      </c>
    </row>
    <row r="98" spans="1:4" ht="15.75" customHeight="1" x14ac:dyDescent="0.2">
      <c r="A98" t="s">
        <v>25</v>
      </c>
      <c r="B98">
        <v>3</v>
      </c>
      <c r="C98" s="2">
        <v>0.1</v>
      </c>
      <c r="D98" t="s">
        <v>57</v>
      </c>
    </row>
    <row r="99" spans="1:4" ht="15.75" customHeight="1" x14ac:dyDescent="0.2">
      <c r="A99" t="s">
        <v>58</v>
      </c>
      <c r="B99">
        <v>3</v>
      </c>
      <c r="C99" s="2">
        <v>0.1</v>
      </c>
      <c r="D99" t="s">
        <v>57</v>
      </c>
    </row>
    <row r="100" spans="1:4" ht="15.75" customHeight="1" x14ac:dyDescent="0.2">
      <c r="A100" t="s">
        <v>59</v>
      </c>
      <c r="B100">
        <v>3</v>
      </c>
      <c r="C100" s="2">
        <v>0.1</v>
      </c>
      <c r="D100" t="s">
        <v>57</v>
      </c>
    </row>
    <row r="102" spans="1:4" ht="15.75" customHeight="1" x14ac:dyDescent="0.2">
      <c r="A102" t="s">
        <v>24</v>
      </c>
      <c r="B102">
        <v>4</v>
      </c>
      <c r="C102" s="2">
        <v>0.6</v>
      </c>
    </row>
    <row r="103" spans="1:4" ht="15.75" customHeight="1" x14ac:dyDescent="0.2">
      <c r="A103" t="s">
        <v>25</v>
      </c>
      <c r="B103">
        <v>4</v>
      </c>
      <c r="C103" s="2">
        <v>0.1</v>
      </c>
    </row>
    <row r="104" spans="1:4" ht="15.75" customHeight="1" x14ac:dyDescent="0.2">
      <c r="A104" t="s">
        <v>58</v>
      </c>
      <c r="B104">
        <v>4</v>
      </c>
      <c r="C104" s="2">
        <v>0.1</v>
      </c>
    </row>
    <row r="105" spans="1:4" ht="15.75" customHeight="1" x14ac:dyDescent="0.2">
      <c r="A105" t="s">
        <v>59</v>
      </c>
      <c r="B105">
        <v>4</v>
      </c>
      <c r="C105" s="2">
        <v>0.1</v>
      </c>
    </row>
    <row r="106" spans="1:4" ht="15.75" customHeight="1" x14ac:dyDescent="0.2">
      <c r="A106" t="s">
        <v>29</v>
      </c>
      <c r="B106">
        <v>4</v>
      </c>
      <c r="C106" s="2">
        <v>0.05</v>
      </c>
    </row>
    <row r="107" spans="1:4" ht="15.75" customHeight="1" x14ac:dyDescent="0.2">
      <c r="A107" t="s">
        <v>30</v>
      </c>
      <c r="B107">
        <v>4</v>
      </c>
      <c r="C107" s="2">
        <v>0.05</v>
      </c>
    </row>
    <row r="109" spans="1:4" ht="15.75" customHeight="1" x14ac:dyDescent="0.2">
      <c r="A109" t="s">
        <v>24</v>
      </c>
      <c r="B109">
        <v>5</v>
      </c>
      <c r="C109" s="2">
        <v>0.5</v>
      </c>
      <c r="D109" t="s">
        <v>60</v>
      </c>
    </row>
    <row r="110" spans="1:4" ht="15.75" customHeight="1" x14ac:dyDescent="0.2">
      <c r="A110" t="s">
        <v>25</v>
      </c>
      <c r="B110">
        <v>5</v>
      </c>
      <c r="C110" s="2">
        <v>0.1</v>
      </c>
      <c r="D110" t="s">
        <v>60</v>
      </c>
    </row>
    <row r="111" spans="1:4" ht="15.75" customHeight="1" x14ac:dyDescent="0.2">
      <c r="A111" t="s">
        <v>58</v>
      </c>
      <c r="B111">
        <v>5</v>
      </c>
      <c r="C111" s="2">
        <v>0.1</v>
      </c>
      <c r="D111" t="s">
        <v>60</v>
      </c>
    </row>
    <row r="112" spans="1:4" ht="15.75" customHeight="1" x14ac:dyDescent="0.2">
      <c r="A112" t="s">
        <v>59</v>
      </c>
      <c r="B112">
        <v>5</v>
      </c>
      <c r="C112" s="2">
        <v>0.1</v>
      </c>
      <c r="D112" t="s">
        <v>60</v>
      </c>
    </row>
    <row r="113" spans="1:4" ht="15.75" customHeight="1" x14ac:dyDescent="0.2">
      <c r="A113" t="s">
        <v>29</v>
      </c>
      <c r="B113">
        <v>5</v>
      </c>
      <c r="C113" s="2">
        <v>0.05</v>
      </c>
      <c r="D113" t="s">
        <v>60</v>
      </c>
    </row>
    <row r="114" spans="1:4" ht="15.75" customHeight="1" x14ac:dyDescent="0.2">
      <c r="A114" t="s">
        <v>30</v>
      </c>
      <c r="B114">
        <v>5</v>
      </c>
      <c r="C114" s="2">
        <v>0.05</v>
      </c>
      <c r="D114" t="s">
        <v>60</v>
      </c>
    </row>
    <row r="115" spans="1:4" ht="15.75" customHeight="1" x14ac:dyDescent="0.2">
      <c r="A115" t="s">
        <v>32</v>
      </c>
      <c r="B115">
        <v>5</v>
      </c>
      <c r="C115" s="2">
        <v>0.1</v>
      </c>
      <c r="D115" t="s">
        <v>60</v>
      </c>
    </row>
    <row r="117" spans="1:4" ht="15.75" customHeight="1" x14ac:dyDescent="0.2">
      <c r="A117" t="s">
        <v>24</v>
      </c>
      <c r="B117">
        <v>6</v>
      </c>
      <c r="C117" s="2">
        <v>0.35</v>
      </c>
    </row>
    <row r="118" spans="1:4" ht="15.75" customHeight="1" x14ac:dyDescent="0.2">
      <c r="A118" t="s">
        <v>25</v>
      </c>
      <c r="B118">
        <v>6</v>
      </c>
      <c r="C118" s="2">
        <v>0.1</v>
      </c>
    </row>
    <row r="119" spans="1:4" ht="15.75" customHeight="1" x14ac:dyDescent="0.2">
      <c r="A119" t="s">
        <v>58</v>
      </c>
      <c r="B119">
        <v>6</v>
      </c>
      <c r="C119" s="2">
        <v>0.1</v>
      </c>
    </row>
    <row r="120" spans="1:4" ht="15.75" customHeight="1" x14ac:dyDescent="0.2">
      <c r="A120" t="s">
        <v>59</v>
      </c>
      <c r="B120">
        <v>6</v>
      </c>
      <c r="C120" s="2">
        <v>0.1</v>
      </c>
    </row>
    <row r="121" spans="1:4" ht="15.75" customHeight="1" x14ac:dyDescent="0.2">
      <c r="A121" t="s">
        <v>61</v>
      </c>
      <c r="B121">
        <v>6</v>
      </c>
      <c r="C121" s="2">
        <v>0.1</v>
      </c>
    </row>
    <row r="122" spans="1:4" ht="15.75" customHeight="1" x14ac:dyDescent="0.2">
      <c r="A122" t="s">
        <v>29</v>
      </c>
      <c r="B122">
        <v>6</v>
      </c>
      <c r="C122" s="2">
        <v>0.05</v>
      </c>
    </row>
    <row r="123" spans="1:4" ht="15.75" customHeight="1" x14ac:dyDescent="0.2">
      <c r="A123" t="s">
        <v>30</v>
      </c>
      <c r="B123">
        <v>6</v>
      </c>
      <c r="C123" s="2">
        <v>0.05</v>
      </c>
    </row>
    <row r="124" spans="1:4" ht="15.75" customHeight="1" x14ac:dyDescent="0.2">
      <c r="A124" t="s">
        <v>62</v>
      </c>
      <c r="B124">
        <v>6</v>
      </c>
      <c r="C124" s="2">
        <v>0.05</v>
      </c>
    </row>
    <row r="125" spans="1:4" ht="15.75" customHeight="1" x14ac:dyDescent="0.2">
      <c r="A125" t="s">
        <v>32</v>
      </c>
      <c r="B125">
        <v>6</v>
      </c>
      <c r="C125" s="2">
        <v>0.1</v>
      </c>
    </row>
    <row r="127" spans="1:4" ht="15.75" customHeight="1" x14ac:dyDescent="0.2">
      <c r="A127" t="s">
        <v>24</v>
      </c>
      <c r="B127">
        <v>7</v>
      </c>
      <c r="C127" s="2">
        <v>0.25</v>
      </c>
      <c r="D127" t="s">
        <v>63</v>
      </c>
    </row>
    <row r="128" spans="1:4" ht="15.75" customHeight="1" x14ac:dyDescent="0.2">
      <c r="A128" t="s">
        <v>25</v>
      </c>
      <c r="B128">
        <v>7</v>
      </c>
      <c r="C128" s="2">
        <v>0.1</v>
      </c>
      <c r="D128" t="s">
        <v>63</v>
      </c>
    </row>
    <row r="129" spans="1:4" ht="15.75" customHeight="1" x14ac:dyDescent="0.2">
      <c r="A129" t="s">
        <v>58</v>
      </c>
      <c r="B129">
        <v>7</v>
      </c>
      <c r="C129" s="2">
        <v>0.1</v>
      </c>
      <c r="D129" t="s">
        <v>63</v>
      </c>
    </row>
    <row r="130" spans="1:4" ht="15.75" customHeight="1" x14ac:dyDescent="0.2">
      <c r="A130" t="s">
        <v>59</v>
      </c>
      <c r="B130">
        <v>7</v>
      </c>
      <c r="C130" s="2">
        <v>0.1</v>
      </c>
      <c r="D130" t="s">
        <v>63</v>
      </c>
    </row>
    <row r="131" spans="1:4" ht="15.75" customHeight="1" x14ac:dyDescent="0.2">
      <c r="A131" t="s">
        <v>61</v>
      </c>
      <c r="B131">
        <v>7</v>
      </c>
      <c r="C131" s="2">
        <v>0.1</v>
      </c>
      <c r="D131" t="s">
        <v>63</v>
      </c>
    </row>
    <row r="132" spans="1:4" ht="15.75" customHeight="1" x14ac:dyDescent="0.2">
      <c r="A132" t="s">
        <v>29</v>
      </c>
      <c r="B132">
        <v>7</v>
      </c>
      <c r="C132" s="2">
        <v>0.1</v>
      </c>
      <c r="D132" t="s">
        <v>63</v>
      </c>
    </row>
    <row r="133" spans="1:4" ht="15.75" customHeight="1" x14ac:dyDescent="0.2">
      <c r="A133" t="s">
        <v>30</v>
      </c>
      <c r="B133">
        <v>7</v>
      </c>
      <c r="C133" s="2">
        <v>0.1</v>
      </c>
      <c r="D133" t="s">
        <v>63</v>
      </c>
    </row>
    <row r="134" spans="1:4" ht="15.75" customHeight="1" x14ac:dyDescent="0.2">
      <c r="A134" t="s">
        <v>62</v>
      </c>
      <c r="B134">
        <v>7</v>
      </c>
      <c r="C134" s="2">
        <v>0.05</v>
      </c>
      <c r="D134" t="s">
        <v>63</v>
      </c>
    </row>
    <row r="135" spans="1:4" ht="15.75" customHeight="1" x14ac:dyDescent="0.2">
      <c r="A135" t="s">
        <v>32</v>
      </c>
      <c r="B135">
        <v>7</v>
      </c>
      <c r="C135" s="2">
        <v>0.1</v>
      </c>
      <c r="D135" t="s">
        <v>63</v>
      </c>
    </row>
    <row r="137" spans="1:4" ht="15.75" customHeight="1" x14ac:dyDescent="0.2">
      <c r="A137" t="s">
        <v>24</v>
      </c>
      <c r="B137">
        <v>8</v>
      </c>
      <c r="C137" s="2">
        <v>0.22</v>
      </c>
    </row>
    <row r="138" spans="1:4" ht="15.75" customHeight="1" x14ac:dyDescent="0.2">
      <c r="A138" t="s">
        <v>25</v>
      </c>
      <c r="B138">
        <v>8</v>
      </c>
      <c r="C138" s="2">
        <v>0.1</v>
      </c>
    </row>
    <row r="139" spans="1:4" ht="15.75" customHeight="1" x14ac:dyDescent="0.2">
      <c r="A139" t="s">
        <v>58</v>
      </c>
      <c r="B139">
        <v>8</v>
      </c>
      <c r="C139" s="2">
        <v>0.1</v>
      </c>
    </row>
    <row r="140" spans="1:4" ht="15.75" customHeight="1" x14ac:dyDescent="0.2">
      <c r="A140" t="s">
        <v>59</v>
      </c>
      <c r="B140">
        <v>8</v>
      </c>
      <c r="C140" s="2">
        <v>0.1</v>
      </c>
    </row>
    <row r="141" spans="1:4" ht="15.75" customHeight="1" x14ac:dyDescent="0.2">
      <c r="A141" t="s">
        <v>61</v>
      </c>
      <c r="B141">
        <v>8</v>
      </c>
      <c r="C141" s="2">
        <v>0.1</v>
      </c>
    </row>
    <row r="142" spans="1:4" ht="15.75" customHeight="1" x14ac:dyDescent="0.2">
      <c r="A142" t="s">
        <v>29</v>
      </c>
      <c r="B142">
        <v>8</v>
      </c>
      <c r="C142" s="2">
        <v>0.1</v>
      </c>
    </row>
    <row r="143" spans="1:4" ht="15.75" customHeight="1" x14ac:dyDescent="0.2">
      <c r="A143" t="s">
        <v>30</v>
      </c>
      <c r="B143">
        <v>8</v>
      </c>
      <c r="C143" s="2">
        <v>0.1</v>
      </c>
    </row>
    <row r="144" spans="1:4" ht="15.75" customHeight="1" x14ac:dyDescent="0.2">
      <c r="A144" t="s">
        <v>62</v>
      </c>
      <c r="B144">
        <v>8</v>
      </c>
      <c r="C144" s="2">
        <v>0.08</v>
      </c>
    </row>
    <row r="145" spans="1:4" ht="15.75" customHeight="1" x14ac:dyDescent="0.2">
      <c r="A145" t="s">
        <v>32</v>
      </c>
      <c r="B145">
        <v>8</v>
      </c>
      <c r="C145" s="2">
        <v>0.1</v>
      </c>
    </row>
    <row r="147" spans="1:4" ht="15.75" customHeight="1" x14ac:dyDescent="0.2">
      <c r="A147" t="s">
        <v>24</v>
      </c>
      <c r="B147">
        <v>9</v>
      </c>
      <c r="C147" s="2">
        <v>0.12</v>
      </c>
      <c r="D147" t="s">
        <v>64</v>
      </c>
    </row>
    <row r="148" spans="1:4" ht="15.75" customHeight="1" x14ac:dyDescent="0.2">
      <c r="A148" t="s">
        <v>25</v>
      </c>
      <c r="B148">
        <v>9</v>
      </c>
      <c r="C148" s="2">
        <v>0.1</v>
      </c>
      <c r="D148" t="s">
        <v>64</v>
      </c>
    </row>
    <row r="149" spans="1:4" ht="15.75" customHeight="1" x14ac:dyDescent="0.2">
      <c r="A149" t="s">
        <v>58</v>
      </c>
      <c r="B149">
        <v>9</v>
      </c>
      <c r="C149" s="2">
        <v>0.1</v>
      </c>
      <c r="D149" t="s">
        <v>64</v>
      </c>
    </row>
    <row r="150" spans="1:4" ht="15.75" customHeight="1" x14ac:dyDescent="0.2">
      <c r="A150" t="s">
        <v>59</v>
      </c>
      <c r="B150">
        <v>9</v>
      </c>
      <c r="C150" s="2">
        <v>0.1</v>
      </c>
      <c r="D150" t="s">
        <v>64</v>
      </c>
    </row>
    <row r="151" spans="1:4" ht="15.75" customHeight="1" x14ac:dyDescent="0.2">
      <c r="A151" t="s">
        <v>61</v>
      </c>
      <c r="B151">
        <v>9</v>
      </c>
      <c r="C151" s="2">
        <v>0.1</v>
      </c>
      <c r="D151" t="s">
        <v>64</v>
      </c>
    </row>
    <row r="152" spans="1:4" ht="15.75" customHeight="1" x14ac:dyDescent="0.2">
      <c r="A152" t="s">
        <v>29</v>
      </c>
      <c r="B152">
        <v>9</v>
      </c>
      <c r="C152" s="2">
        <v>0.1</v>
      </c>
      <c r="D152" t="s">
        <v>64</v>
      </c>
    </row>
    <row r="153" spans="1:4" ht="15.75" customHeight="1" x14ac:dyDescent="0.2">
      <c r="A153" t="s">
        <v>30</v>
      </c>
      <c r="B153">
        <v>9</v>
      </c>
      <c r="C153" s="2">
        <v>0.1</v>
      </c>
      <c r="D153" t="s">
        <v>64</v>
      </c>
    </row>
    <row r="154" spans="1:4" ht="15.75" customHeight="1" x14ac:dyDescent="0.2">
      <c r="A154" t="s">
        <v>62</v>
      </c>
      <c r="B154">
        <v>9</v>
      </c>
      <c r="C154" s="2">
        <v>0.08</v>
      </c>
      <c r="D154" t="s">
        <v>64</v>
      </c>
    </row>
    <row r="155" spans="1:4" ht="15.75" customHeight="1" x14ac:dyDescent="0.2">
      <c r="A155" t="s">
        <v>32</v>
      </c>
      <c r="B155">
        <v>9</v>
      </c>
      <c r="C155" s="2">
        <v>0.1</v>
      </c>
      <c r="D155" t="s">
        <v>64</v>
      </c>
    </row>
    <row r="156" spans="1:4" ht="15.75" customHeight="1" x14ac:dyDescent="0.2">
      <c r="A156" t="s">
        <v>34</v>
      </c>
      <c r="B156">
        <v>9</v>
      </c>
      <c r="C156" s="2">
        <v>0.1</v>
      </c>
      <c r="D156" t="s">
        <v>64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9"/>
  <sheetViews>
    <sheetView topLeftCell="A79" zoomScaleNormal="100" workbookViewId="0">
      <selection activeCell="A101" sqref="A101"/>
    </sheetView>
  </sheetViews>
  <sheetFormatPr baseColWidth="10" defaultColWidth="10.5" defaultRowHeight="15.75" customHeight="1" x14ac:dyDescent="0.2"/>
  <cols>
    <col min="1" max="1" width="64.6640625" customWidth="1"/>
    <col min="11" max="11" width="29.6640625" customWidth="1"/>
    <col min="12" max="12" width="46.33203125" customWidth="1"/>
    <col min="13" max="13" width="17.33203125" customWidth="1"/>
    <col min="14" max="14" width="16.83203125" customWidth="1"/>
  </cols>
  <sheetData>
    <row r="1" spans="1:14" ht="15.75" customHeight="1" x14ac:dyDescent="0.2">
      <c r="A1" s="8" t="s">
        <v>37</v>
      </c>
      <c r="B1" s="8"/>
    </row>
    <row r="2" spans="1:14" ht="15.75" customHeight="1" x14ac:dyDescent="0.2">
      <c r="A2" s="1" t="s">
        <v>6</v>
      </c>
      <c r="B2" s="3">
        <v>1</v>
      </c>
    </row>
    <row r="4" spans="1:14" ht="15.75" customHeight="1" x14ac:dyDescent="0.2">
      <c r="A4" t="s">
        <v>11</v>
      </c>
    </row>
    <row r="5" spans="1:14" ht="15.75" customHeight="1" x14ac:dyDescent="0.2">
      <c r="A5" s="1" t="s">
        <v>6</v>
      </c>
      <c r="B5" s="3">
        <v>0.8</v>
      </c>
      <c r="C5" s="9" t="s">
        <v>38</v>
      </c>
      <c r="D5" s="9">
        <v>1</v>
      </c>
      <c r="E5" s="9"/>
      <c r="F5" s="9"/>
      <c r="G5" s="9"/>
    </row>
    <row r="6" spans="1:14" ht="15.75" customHeight="1" x14ac:dyDescent="0.2">
      <c r="A6" s="1" t="s">
        <v>7</v>
      </c>
      <c r="B6" s="3">
        <v>0.03</v>
      </c>
      <c r="C6" s="9" t="s">
        <v>39</v>
      </c>
      <c r="D6" s="9" t="s">
        <v>40</v>
      </c>
      <c r="E6" s="9" t="s">
        <v>11</v>
      </c>
      <c r="F6" s="9" t="s">
        <v>41</v>
      </c>
      <c r="G6" s="9" t="s">
        <v>42</v>
      </c>
    </row>
    <row r="7" spans="1:14" ht="15.75" customHeight="1" x14ac:dyDescent="0.2">
      <c r="A7" s="1" t="s">
        <v>50</v>
      </c>
      <c r="B7" s="3">
        <v>0.05</v>
      </c>
      <c r="C7" s="9" t="s">
        <v>43</v>
      </c>
      <c r="D7" s="9">
        <v>1.15594741666667E-2</v>
      </c>
      <c r="E7" s="9">
        <v>1.18181541560016E-2</v>
      </c>
      <c r="F7" s="9">
        <v>1.0223781796304201</v>
      </c>
      <c r="G7" s="9">
        <v>0.15140896776037899</v>
      </c>
    </row>
    <row r="8" spans="1:14" ht="15.75" customHeight="1" x14ac:dyDescent="0.2">
      <c r="A8" s="1" t="s">
        <v>51</v>
      </c>
      <c r="B8" s="3">
        <v>0.05</v>
      </c>
      <c r="C8" s="9" t="s">
        <v>44</v>
      </c>
      <c r="D8" s="9">
        <v>1.0200000000000001E-2</v>
      </c>
      <c r="E8" s="9">
        <v>1.0559811673639299E-2</v>
      </c>
      <c r="F8" s="9">
        <v>1.0352756542783601</v>
      </c>
      <c r="G8" s="9">
        <v>0.13434269002156901</v>
      </c>
    </row>
    <row r="9" spans="1:14" ht="15.75" customHeight="1" x14ac:dyDescent="0.2">
      <c r="A9" s="4" t="s">
        <v>10</v>
      </c>
      <c r="B9" s="3">
        <v>7.0000000000000007E-2</v>
      </c>
      <c r="C9" s="9" t="s">
        <v>45</v>
      </c>
      <c r="D9" s="9">
        <v>1.01E-2</v>
      </c>
      <c r="E9" s="9">
        <v>1.05260409549254E-2</v>
      </c>
      <c r="F9" s="9">
        <v>1.0421822727648899</v>
      </c>
      <c r="G9" s="9">
        <v>0.133887886328874</v>
      </c>
    </row>
    <row r="10" spans="1:14" ht="15.75" customHeight="1" x14ac:dyDescent="0.2">
      <c r="C10" s="9"/>
      <c r="D10" s="9"/>
      <c r="E10" s="9"/>
      <c r="F10" s="9"/>
      <c r="G10" s="9"/>
      <c r="K10" s="13"/>
      <c r="L10" s="13"/>
      <c r="M10" s="13"/>
      <c r="N10" s="13"/>
    </row>
    <row r="11" spans="1:14" ht="15.75" customHeight="1" x14ac:dyDescent="0.2">
      <c r="A11" t="s">
        <v>46</v>
      </c>
      <c r="K11" s="13"/>
      <c r="L11" s="14"/>
      <c r="M11" s="15"/>
      <c r="N11" s="16"/>
    </row>
    <row r="12" spans="1:14" ht="15.75" customHeight="1" x14ac:dyDescent="0.2">
      <c r="A12" s="1" t="s">
        <v>6</v>
      </c>
      <c r="B12" s="3">
        <v>0.5</v>
      </c>
      <c r="C12" s="9" t="s">
        <v>38</v>
      </c>
      <c r="D12" s="9">
        <v>1</v>
      </c>
      <c r="E12" s="9"/>
      <c r="F12" s="9"/>
      <c r="G12" s="9"/>
      <c r="K12" s="13"/>
      <c r="L12" s="14"/>
      <c r="M12" s="15"/>
      <c r="N12" s="16"/>
    </row>
    <row r="13" spans="1:14" ht="15.75" customHeight="1" x14ac:dyDescent="0.2">
      <c r="A13" s="1" t="s">
        <v>7</v>
      </c>
      <c r="B13" s="3">
        <v>0.04</v>
      </c>
      <c r="C13" s="9" t="s">
        <v>39</v>
      </c>
      <c r="D13" s="9" t="s">
        <v>40</v>
      </c>
      <c r="E13" s="9" t="s">
        <v>11</v>
      </c>
      <c r="F13" s="9" t="s">
        <v>41</v>
      </c>
      <c r="G13" s="9" t="s">
        <v>42</v>
      </c>
      <c r="K13" s="13"/>
      <c r="L13" s="14"/>
      <c r="M13" s="15"/>
      <c r="N13" s="16"/>
    </row>
    <row r="14" spans="1:14" ht="15.75" customHeight="1" x14ac:dyDescent="0.2">
      <c r="A14" s="1" t="s">
        <v>50</v>
      </c>
      <c r="B14" s="3">
        <v>7.0000000000000007E-2</v>
      </c>
      <c r="C14" s="9" t="s">
        <v>43</v>
      </c>
      <c r="D14" s="9">
        <v>1.15594741666667E-2</v>
      </c>
      <c r="E14" s="9">
        <v>1.4827326142856499E-2</v>
      </c>
      <c r="F14" s="9">
        <v>1.28269901632836</v>
      </c>
      <c r="G14" s="9">
        <v>0.193179642125693</v>
      </c>
      <c r="K14" s="13"/>
      <c r="L14" s="14"/>
      <c r="M14" s="15"/>
      <c r="N14" s="16"/>
    </row>
    <row r="15" spans="1:14" ht="15.75" customHeight="1" x14ac:dyDescent="0.2">
      <c r="A15" s="1" t="s">
        <v>51</v>
      </c>
      <c r="B15" s="3">
        <v>0.06</v>
      </c>
      <c r="C15" s="9" t="s">
        <v>44</v>
      </c>
      <c r="D15" s="9">
        <v>1.0200000000000001E-2</v>
      </c>
      <c r="E15" s="9">
        <v>1.1931085139596899E-2</v>
      </c>
      <c r="F15" s="9">
        <v>1.16971422937224</v>
      </c>
      <c r="G15" s="9">
        <v>0.15295204658988601</v>
      </c>
      <c r="K15" s="13"/>
      <c r="L15" s="14"/>
      <c r="M15" s="15"/>
      <c r="N15" s="16"/>
    </row>
    <row r="16" spans="1:14" ht="15.75" customHeight="1" x14ac:dyDescent="0.2">
      <c r="A16" s="4" t="s">
        <v>10</v>
      </c>
      <c r="B16" s="3">
        <v>0.09</v>
      </c>
      <c r="C16" s="9" t="s">
        <v>45</v>
      </c>
      <c r="D16" s="9">
        <v>1.01E-2</v>
      </c>
      <c r="E16" s="9">
        <v>1.2219409586243599E-2</v>
      </c>
      <c r="F16" s="9">
        <v>1.20984253329144</v>
      </c>
      <c r="G16" s="9">
        <v>0.15690028810967599</v>
      </c>
      <c r="K16" s="13"/>
      <c r="L16" s="14"/>
      <c r="M16" s="15"/>
      <c r="N16" s="16"/>
    </row>
    <row r="17" spans="1:14" ht="15.75" customHeight="1" x14ac:dyDescent="0.2">
      <c r="A17" s="4" t="s">
        <v>52</v>
      </c>
      <c r="B17" s="3">
        <v>0.06</v>
      </c>
      <c r="K17" s="13"/>
      <c r="L17" s="14"/>
      <c r="M17" s="15"/>
      <c r="N17" s="16"/>
    </row>
    <row r="18" spans="1:14" ht="15.75" customHeight="1" x14ac:dyDescent="0.2">
      <c r="A18" s="5" t="s">
        <v>12</v>
      </c>
      <c r="B18" s="3">
        <v>0.04</v>
      </c>
      <c r="K18" s="13"/>
      <c r="L18" s="14"/>
      <c r="M18" s="15"/>
      <c r="N18" s="16"/>
    </row>
    <row r="19" spans="1:14" ht="15.75" customHeight="1" x14ac:dyDescent="0.2">
      <c r="A19" s="5" t="s">
        <v>13</v>
      </c>
      <c r="B19" s="3">
        <v>0.05</v>
      </c>
      <c r="K19" s="13"/>
      <c r="L19" s="14"/>
      <c r="M19" s="15"/>
      <c r="N19" s="16"/>
    </row>
    <row r="20" spans="1:14" ht="15.75" customHeight="1" x14ac:dyDescent="0.2">
      <c r="A20" s="5" t="s">
        <v>53</v>
      </c>
      <c r="B20" s="3">
        <v>0.05</v>
      </c>
      <c r="K20" s="14"/>
      <c r="L20" s="14"/>
      <c r="M20" s="14"/>
      <c r="N20" s="14"/>
    </row>
    <row r="21" spans="1:14" ht="15.75" customHeight="1" x14ac:dyDescent="0.2">
      <c r="A21" s="6" t="s">
        <v>54</v>
      </c>
      <c r="B21" s="3">
        <v>0.04</v>
      </c>
      <c r="K21" s="13"/>
      <c r="L21" s="17"/>
      <c r="M21" s="18"/>
      <c r="N21" s="19"/>
    </row>
    <row r="23" spans="1:14" ht="15.75" customHeight="1" x14ac:dyDescent="0.2">
      <c r="A23" t="s">
        <v>19</v>
      </c>
    </row>
    <row r="24" spans="1:14" ht="15.75" customHeight="1" x14ac:dyDescent="0.2">
      <c r="A24" s="1" t="s">
        <v>6</v>
      </c>
      <c r="B24" s="3">
        <v>0.25</v>
      </c>
      <c r="C24" s="9" t="s">
        <v>38</v>
      </c>
      <c r="D24" s="9">
        <v>1</v>
      </c>
      <c r="E24" s="9"/>
      <c r="F24" s="9"/>
      <c r="G24" s="9"/>
    </row>
    <row r="25" spans="1:14" ht="15.75" customHeight="1" x14ac:dyDescent="0.2">
      <c r="A25" s="1" t="s">
        <v>7</v>
      </c>
      <c r="B25" s="3">
        <v>0.04</v>
      </c>
      <c r="C25" s="9" t="s">
        <v>39</v>
      </c>
      <c r="D25" s="9" t="s">
        <v>40</v>
      </c>
      <c r="E25" s="9" t="s">
        <v>11</v>
      </c>
      <c r="F25" s="9" t="s">
        <v>41</v>
      </c>
      <c r="G25" s="9" t="s">
        <v>42</v>
      </c>
    </row>
    <row r="26" spans="1:14" ht="15.75" customHeight="1" x14ac:dyDescent="0.2">
      <c r="A26" s="1" t="s">
        <v>50</v>
      </c>
      <c r="B26" s="3">
        <v>0.1</v>
      </c>
      <c r="C26" s="9" t="s">
        <v>43</v>
      </c>
      <c r="D26" s="9">
        <v>1.15594741666667E-2</v>
      </c>
      <c r="E26" s="9">
        <v>1.9046410751544601E-2</v>
      </c>
      <c r="F26" s="9">
        <v>1.64768833572616</v>
      </c>
      <c r="G26" s="9">
        <v>0.25408670568629099</v>
      </c>
    </row>
    <row r="27" spans="1:14" ht="15.75" customHeight="1" x14ac:dyDescent="0.2">
      <c r="A27" s="1" t="s">
        <v>55</v>
      </c>
      <c r="B27" s="3">
        <v>0.03</v>
      </c>
      <c r="C27" s="9" t="s">
        <v>44</v>
      </c>
      <c r="D27" s="9">
        <v>1.0200000000000001E-2</v>
      </c>
      <c r="E27" s="9">
        <v>1.258984894647E-2</v>
      </c>
      <c r="F27" s="9">
        <v>1.23429891632059</v>
      </c>
      <c r="G27" s="9">
        <v>0.16199118127843901</v>
      </c>
    </row>
    <row r="28" spans="1:14" ht="15.75" customHeight="1" x14ac:dyDescent="0.2">
      <c r="A28" s="1" t="s">
        <v>51</v>
      </c>
      <c r="B28" s="3">
        <v>0.06</v>
      </c>
      <c r="C28" s="9" t="s">
        <v>45</v>
      </c>
      <c r="D28" s="9">
        <v>1.01E-2</v>
      </c>
      <c r="E28" s="9">
        <v>1.35479343114816E-2</v>
      </c>
      <c r="F28" s="9">
        <v>1.3413796348001601</v>
      </c>
      <c r="G28" s="9">
        <v>0.17525339458670799</v>
      </c>
    </row>
    <row r="29" spans="1:14" ht="15.75" customHeight="1" x14ac:dyDescent="0.2">
      <c r="A29" s="4" t="s">
        <v>10</v>
      </c>
      <c r="B29" s="3">
        <v>0.09</v>
      </c>
    </row>
    <row r="30" spans="1:14" ht="15.75" customHeight="1" x14ac:dyDescent="0.2">
      <c r="A30" s="4" t="s">
        <v>52</v>
      </c>
      <c r="B30" s="3">
        <v>0.05</v>
      </c>
    </row>
    <row r="31" spans="1:14" ht="15.75" customHeight="1" x14ac:dyDescent="0.2">
      <c r="A31" s="5" t="s">
        <v>12</v>
      </c>
      <c r="B31" s="3">
        <v>0.06</v>
      </c>
    </row>
    <row r="32" spans="1:14" ht="15.75" customHeight="1" x14ac:dyDescent="0.2">
      <c r="A32" s="5" t="s">
        <v>13</v>
      </c>
      <c r="B32" s="3">
        <v>0.06</v>
      </c>
    </row>
    <row r="33" spans="1:7" ht="15.75" customHeight="1" x14ac:dyDescent="0.2">
      <c r="A33" s="5" t="s">
        <v>53</v>
      </c>
      <c r="B33" s="3">
        <v>0.05</v>
      </c>
    </row>
    <row r="34" spans="1:7" ht="15.75" customHeight="1" x14ac:dyDescent="0.2">
      <c r="A34" s="6" t="s">
        <v>56</v>
      </c>
      <c r="B34" s="3">
        <v>0.06</v>
      </c>
    </row>
    <row r="35" spans="1:7" ht="15.75" customHeight="1" x14ac:dyDescent="0.2">
      <c r="A35" s="6" t="s">
        <v>14</v>
      </c>
      <c r="B35" s="3">
        <v>0.05</v>
      </c>
    </row>
    <row r="36" spans="1:7" ht="15.75" customHeight="1" x14ac:dyDescent="0.2">
      <c r="A36" s="6" t="s">
        <v>18</v>
      </c>
      <c r="B36" s="3">
        <v>0.05</v>
      </c>
    </row>
    <row r="37" spans="1:7" ht="15.75" customHeight="1" x14ac:dyDescent="0.2">
      <c r="A37" s="6" t="s">
        <v>54</v>
      </c>
      <c r="B37" s="3">
        <v>0.05</v>
      </c>
    </row>
    <row r="39" spans="1:7" ht="15.75" customHeight="1" x14ac:dyDescent="0.2">
      <c r="A39" t="s">
        <v>20</v>
      </c>
    </row>
    <row r="40" spans="1:7" ht="15.75" customHeight="1" x14ac:dyDescent="0.2">
      <c r="A40" s="1" t="s">
        <v>6</v>
      </c>
      <c r="B40" s="3">
        <v>0.12</v>
      </c>
      <c r="C40" s="9" t="s">
        <v>38</v>
      </c>
      <c r="D40" s="9">
        <v>1</v>
      </c>
      <c r="E40" s="9"/>
      <c r="F40" s="9"/>
      <c r="G40" s="9"/>
    </row>
    <row r="41" spans="1:7" ht="15.75" customHeight="1" x14ac:dyDescent="0.2">
      <c r="A41" s="1" t="s">
        <v>7</v>
      </c>
      <c r="B41" s="3">
        <v>0.04</v>
      </c>
      <c r="C41" s="9" t="s">
        <v>39</v>
      </c>
      <c r="D41" s="9" t="s">
        <v>40</v>
      </c>
      <c r="E41" s="9" t="s">
        <v>11</v>
      </c>
      <c r="F41" s="9" t="s">
        <v>41</v>
      </c>
      <c r="G41" s="9" t="s">
        <v>42</v>
      </c>
    </row>
    <row r="42" spans="1:7" ht="15.75" customHeight="1" x14ac:dyDescent="0.2">
      <c r="A42" s="1" t="s">
        <v>50</v>
      </c>
      <c r="B42" s="3">
        <v>0.1</v>
      </c>
      <c r="C42" s="9" t="s">
        <v>43</v>
      </c>
      <c r="D42" s="9">
        <v>1.15594741666667E-2</v>
      </c>
      <c r="E42" s="9">
        <v>2.1970018266750699E-2</v>
      </c>
      <c r="F42" s="9">
        <v>1.90060706481824</v>
      </c>
      <c r="G42" s="9">
        <v>0.297949692994321</v>
      </c>
    </row>
    <row r="43" spans="1:7" ht="15.75" customHeight="1" x14ac:dyDescent="0.2">
      <c r="A43" s="1" t="s">
        <v>55</v>
      </c>
      <c r="B43" s="3">
        <v>0.03</v>
      </c>
      <c r="C43" s="9" t="s">
        <v>44</v>
      </c>
      <c r="D43" s="9">
        <v>1.0200000000000001E-2</v>
      </c>
      <c r="E43" s="9">
        <v>1.35412993925501E-2</v>
      </c>
      <c r="F43" s="9">
        <v>1.32757837181863</v>
      </c>
      <c r="G43" s="9">
        <v>0.175161076147824</v>
      </c>
    </row>
    <row r="44" spans="1:7" ht="15.75" customHeight="1" x14ac:dyDescent="0.2">
      <c r="A44" s="1" t="s">
        <v>51</v>
      </c>
      <c r="B44" s="3">
        <v>0.06</v>
      </c>
      <c r="C44" s="9" t="s">
        <v>45</v>
      </c>
      <c r="D44" s="9">
        <v>1.01E-2</v>
      </c>
      <c r="E44" s="9">
        <v>1.48500228098144E-2</v>
      </c>
      <c r="F44" s="9">
        <v>1.47029928810044</v>
      </c>
      <c r="G44" s="9">
        <v>0.193499907830502</v>
      </c>
    </row>
    <row r="45" spans="1:7" ht="15.75" customHeight="1" x14ac:dyDescent="0.2">
      <c r="A45" s="4" t="s">
        <v>10</v>
      </c>
      <c r="B45" s="3">
        <v>0.09</v>
      </c>
    </row>
    <row r="46" spans="1:7" ht="15.75" customHeight="1" x14ac:dyDescent="0.2">
      <c r="A46" s="4" t="s">
        <v>52</v>
      </c>
      <c r="B46" s="3">
        <v>0.08</v>
      </c>
    </row>
    <row r="47" spans="1:7" ht="15.75" customHeight="1" x14ac:dyDescent="0.2">
      <c r="A47" s="5" t="s">
        <v>12</v>
      </c>
      <c r="B47" s="3">
        <v>0.04</v>
      </c>
    </row>
    <row r="48" spans="1:7" ht="15.75" customHeight="1" x14ac:dyDescent="0.2">
      <c r="A48" s="5" t="s">
        <v>13</v>
      </c>
      <c r="B48" s="3">
        <v>0.06</v>
      </c>
    </row>
    <row r="49" spans="1:7" ht="15.75" customHeight="1" x14ac:dyDescent="0.2">
      <c r="A49" s="5" t="s">
        <v>53</v>
      </c>
      <c r="B49" s="3">
        <v>7.0000000000000007E-2</v>
      </c>
    </row>
    <row r="50" spans="1:7" ht="15.75" customHeight="1" x14ac:dyDescent="0.2">
      <c r="A50" s="6" t="s">
        <v>56</v>
      </c>
      <c r="B50" s="3">
        <v>0.1</v>
      </c>
    </row>
    <row r="51" spans="1:7" ht="15.75" customHeight="1" x14ac:dyDescent="0.2">
      <c r="A51" s="6" t="s">
        <v>14</v>
      </c>
      <c r="B51" s="3">
        <v>7.0000000000000007E-2</v>
      </c>
    </row>
    <row r="52" spans="1:7" ht="15.75" customHeight="1" x14ac:dyDescent="0.2">
      <c r="A52" s="6" t="s">
        <v>18</v>
      </c>
      <c r="B52" s="3">
        <v>7.0000000000000007E-2</v>
      </c>
    </row>
    <row r="53" spans="1:7" ht="15.75" customHeight="1" x14ac:dyDescent="0.2">
      <c r="A53" s="6" t="s">
        <v>54</v>
      </c>
      <c r="B53" s="3">
        <v>7.0000000000000007E-2</v>
      </c>
    </row>
    <row r="56" spans="1:7" ht="15.75" customHeight="1" x14ac:dyDescent="0.2">
      <c r="A56" t="s">
        <v>26</v>
      </c>
    </row>
    <row r="57" spans="1:7" ht="15.75" customHeight="1" x14ac:dyDescent="0.2">
      <c r="A57" s="1" t="s">
        <v>6</v>
      </c>
      <c r="B57" s="3">
        <v>0.7</v>
      </c>
      <c r="C57" s="9" t="s">
        <v>38</v>
      </c>
      <c r="D57" s="9">
        <v>1</v>
      </c>
      <c r="E57" s="9"/>
      <c r="F57" s="9"/>
      <c r="G57" s="9"/>
    </row>
    <row r="58" spans="1:7" ht="15.75" customHeight="1" x14ac:dyDescent="0.2">
      <c r="A58" s="1" t="s">
        <v>7</v>
      </c>
      <c r="B58" s="3">
        <v>0.1</v>
      </c>
      <c r="C58" s="9" t="s">
        <v>39</v>
      </c>
      <c r="D58" s="9" t="s">
        <v>40</v>
      </c>
      <c r="E58" s="9" t="s">
        <v>11</v>
      </c>
      <c r="F58" s="9" t="s">
        <v>41</v>
      </c>
      <c r="G58" s="9" t="s">
        <v>42</v>
      </c>
    </row>
    <row r="59" spans="1:7" ht="15.75" customHeight="1" x14ac:dyDescent="0.2">
      <c r="A59" s="1" t="s">
        <v>50</v>
      </c>
      <c r="B59" s="3">
        <v>0.1</v>
      </c>
      <c r="C59" s="9" t="s">
        <v>43</v>
      </c>
      <c r="D59" s="9">
        <v>1.15594741666667E-2</v>
      </c>
      <c r="E59" s="9">
        <v>1.2181921988717899E-2</v>
      </c>
      <c r="F59" s="9">
        <v>1.05384741667974</v>
      </c>
      <c r="G59" s="9">
        <v>0.15638624249045599</v>
      </c>
    </row>
    <row r="60" spans="1:7" ht="15.75" customHeight="1" x14ac:dyDescent="0.2">
      <c r="A60" s="1" t="s">
        <v>51</v>
      </c>
      <c r="B60" s="3">
        <v>0</v>
      </c>
      <c r="C60" s="9" t="s">
        <v>44</v>
      </c>
      <c r="D60" s="9">
        <v>1.0200000000000001E-2</v>
      </c>
      <c r="E60" s="9">
        <v>1.1425621102761701E-2</v>
      </c>
      <c r="F60" s="9">
        <v>1.12015893164331</v>
      </c>
      <c r="G60" s="9">
        <v>0.14606014548571</v>
      </c>
    </row>
    <row r="61" spans="1:7" ht="15.75" customHeight="1" x14ac:dyDescent="0.2">
      <c r="A61" s="4" t="s">
        <v>10</v>
      </c>
      <c r="B61" s="3">
        <v>0</v>
      </c>
      <c r="C61" s="9" t="s">
        <v>45</v>
      </c>
      <c r="D61" s="9">
        <v>1.01E-2</v>
      </c>
      <c r="E61" s="9">
        <v>1.1336122903526801E-2</v>
      </c>
      <c r="F61" s="9">
        <v>1.12238840628979</v>
      </c>
      <c r="G61" s="9">
        <v>0.144843798029827</v>
      </c>
    </row>
    <row r="62" spans="1:7" ht="15.75" customHeight="1" x14ac:dyDescent="0.2">
      <c r="A62" s="4" t="s">
        <v>52</v>
      </c>
      <c r="B62" s="3">
        <v>0.1</v>
      </c>
    </row>
    <row r="64" spans="1:7" ht="15.75" customHeight="1" x14ac:dyDescent="0.2">
      <c r="A64" t="s">
        <v>31</v>
      </c>
    </row>
    <row r="65" spans="1:7" ht="15.75" customHeight="1" x14ac:dyDescent="0.2">
      <c r="A65" s="1" t="s">
        <v>6</v>
      </c>
      <c r="B65" s="3">
        <v>0.5</v>
      </c>
      <c r="C65" s="9" t="s">
        <v>39</v>
      </c>
      <c r="D65" s="9" t="s">
        <v>40</v>
      </c>
      <c r="E65" s="9" t="s">
        <v>11</v>
      </c>
      <c r="F65" s="9" t="s">
        <v>41</v>
      </c>
      <c r="G65" s="9" t="s">
        <v>42</v>
      </c>
    </row>
    <row r="66" spans="1:7" ht="15.75" customHeight="1" x14ac:dyDescent="0.2">
      <c r="A66" s="1" t="s">
        <v>7</v>
      </c>
      <c r="B66" s="3">
        <v>0.1</v>
      </c>
      <c r="C66" s="9" t="s">
        <v>43</v>
      </c>
      <c r="D66" s="9">
        <v>1.15594741666667E-2</v>
      </c>
      <c r="E66" s="9">
        <v>1.62192074422947E-2</v>
      </c>
      <c r="F66" s="9">
        <v>1.4031094501742101</v>
      </c>
      <c r="G66" s="9">
        <v>0.21296645486462201</v>
      </c>
    </row>
    <row r="67" spans="1:7" ht="15.75" customHeight="1" x14ac:dyDescent="0.2">
      <c r="A67" s="1" t="s">
        <v>50</v>
      </c>
      <c r="B67" s="3">
        <v>0.1</v>
      </c>
      <c r="C67" s="9" t="s">
        <v>44</v>
      </c>
      <c r="D67" s="9">
        <v>1.0200000000000001E-2</v>
      </c>
      <c r="E67" s="9">
        <v>1.20620415547034E-2</v>
      </c>
      <c r="F67" s="9">
        <v>1.1825530935983699</v>
      </c>
      <c r="G67" s="9">
        <v>0.154743796831639</v>
      </c>
    </row>
    <row r="68" spans="1:7" ht="15.75" customHeight="1" x14ac:dyDescent="0.2">
      <c r="A68" s="1" t="s">
        <v>51</v>
      </c>
      <c r="B68" s="3">
        <v>0</v>
      </c>
      <c r="C68" s="9" t="s">
        <v>45</v>
      </c>
      <c r="D68" s="9">
        <v>1.01E-2</v>
      </c>
      <c r="E68" s="9">
        <v>1.22229063031438E-2</v>
      </c>
      <c r="F68" s="9">
        <v>1.21018874288553</v>
      </c>
      <c r="G68" s="9">
        <v>0.15694824723331299</v>
      </c>
    </row>
    <row r="69" spans="1:7" ht="15.75" customHeight="1" x14ac:dyDescent="0.2">
      <c r="A69" s="4" t="s">
        <v>10</v>
      </c>
      <c r="B69" s="3">
        <v>0</v>
      </c>
    </row>
    <row r="70" spans="1:7" ht="15.75" customHeight="1" x14ac:dyDescent="0.2">
      <c r="A70" s="4" t="s">
        <v>52</v>
      </c>
      <c r="B70" s="3">
        <v>0.1</v>
      </c>
    </row>
    <row r="71" spans="1:7" ht="15.75" customHeight="1" x14ac:dyDescent="0.2">
      <c r="A71" s="5" t="s">
        <v>12</v>
      </c>
      <c r="B71" s="3">
        <v>0.05</v>
      </c>
    </row>
    <row r="72" spans="1:7" ht="15.75" customHeight="1" x14ac:dyDescent="0.2">
      <c r="A72" s="5" t="s">
        <v>13</v>
      </c>
      <c r="B72" s="3">
        <v>0.05</v>
      </c>
    </row>
    <row r="73" spans="1:7" ht="15.75" customHeight="1" x14ac:dyDescent="0.2">
      <c r="A73" s="5" t="s">
        <v>53</v>
      </c>
      <c r="B73" s="3">
        <v>0</v>
      </c>
    </row>
    <row r="74" spans="1:7" ht="15.75" customHeight="1" x14ac:dyDescent="0.2">
      <c r="A74" s="6" t="s">
        <v>54</v>
      </c>
      <c r="B74" s="3">
        <v>0</v>
      </c>
    </row>
    <row r="75" spans="1:7" ht="15.75" customHeight="1" x14ac:dyDescent="0.2">
      <c r="A75" s="6" t="s">
        <v>14</v>
      </c>
      <c r="B75" s="3">
        <v>0.1</v>
      </c>
    </row>
    <row r="77" spans="1:7" ht="15.75" customHeight="1" x14ac:dyDescent="0.2">
      <c r="A77" t="s">
        <v>35</v>
      </c>
    </row>
    <row r="78" spans="1:7" ht="15.75" customHeight="1" x14ac:dyDescent="0.2">
      <c r="A78" s="1" t="s">
        <v>6</v>
      </c>
      <c r="B78" s="3">
        <v>0.25</v>
      </c>
      <c r="C78" s="9" t="s">
        <v>38</v>
      </c>
      <c r="D78" s="9">
        <v>1</v>
      </c>
      <c r="E78" s="9"/>
      <c r="F78" s="9"/>
      <c r="G78" s="9"/>
    </row>
    <row r="79" spans="1:7" ht="15.75" customHeight="1" x14ac:dyDescent="0.2">
      <c r="A79" s="1" t="s">
        <v>7</v>
      </c>
      <c r="B79" s="3">
        <v>0.1</v>
      </c>
      <c r="C79" s="9" t="s">
        <v>39</v>
      </c>
      <c r="D79" s="9" t="s">
        <v>40</v>
      </c>
      <c r="E79" s="9" t="s">
        <v>11</v>
      </c>
      <c r="F79" s="9" t="s">
        <v>41</v>
      </c>
      <c r="G79" s="9" t="s">
        <v>42</v>
      </c>
    </row>
    <row r="80" spans="1:7" ht="15.75" customHeight="1" x14ac:dyDescent="0.2">
      <c r="A80" s="1" t="s">
        <v>50</v>
      </c>
      <c r="B80" s="3">
        <v>0.1</v>
      </c>
      <c r="C80" s="9" t="s">
        <v>43</v>
      </c>
      <c r="D80" s="9">
        <v>1.15594741666667E-2</v>
      </c>
      <c r="E80" s="9">
        <v>1.9398761515872501E-2</v>
      </c>
      <c r="F80" s="9">
        <v>1.6781698921748001</v>
      </c>
      <c r="G80" s="9">
        <v>0.259300046681952</v>
      </c>
    </row>
    <row r="81" spans="1:7" ht="15.75" customHeight="1" x14ac:dyDescent="0.2">
      <c r="A81" s="1" t="s">
        <v>55</v>
      </c>
      <c r="B81" s="3">
        <v>0</v>
      </c>
      <c r="C81" s="9" t="s">
        <v>44</v>
      </c>
      <c r="D81" s="9">
        <v>1.0200000000000001E-2</v>
      </c>
      <c r="E81" s="9">
        <v>1.25073940134764E-2</v>
      </c>
      <c r="F81" s="9">
        <v>1.2262150993604399</v>
      </c>
      <c r="G81" s="9">
        <v>0.16085624192183401</v>
      </c>
    </row>
    <row r="82" spans="1:7" ht="15.75" customHeight="1" x14ac:dyDescent="0.2">
      <c r="A82" s="1" t="s">
        <v>51</v>
      </c>
      <c r="B82" s="3">
        <v>0</v>
      </c>
      <c r="C82" s="9" t="s">
        <v>45</v>
      </c>
      <c r="D82" s="9">
        <v>1.01E-2</v>
      </c>
      <c r="E82" s="9">
        <v>1.35331521891363E-2</v>
      </c>
      <c r="F82" s="9">
        <v>1.33991605833033</v>
      </c>
      <c r="G82" s="9">
        <v>0.17504772483522699</v>
      </c>
    </row>
    <row r="83" spans="1:7" ht="15.75" customHeight="1" x14ac:dyDescent="0.2">
      <c r="A83" s="4" t="s">
        <v>10</v>
      </c>
      <c r="B83" s="3">
        <v>0</v>
      </c>
    </row>
    <row r="84" spans="1:7" ht="15.75" customHeight="1" x14ac:dyDescent="0.2">
      <c r="A84" s="4" t="s">
        <v>52</v>
      </c>
      <c r="B84" s="3">
        <v>0.1</v>
      </c>
    </row>
    <row r="85" spans="1:7" ht="15.75" customHeight="1" x14ac:dyDescent="0.2">
      <c r="A85" s="5" t="s">
        <v>12</v>
      </c>
      <c r="B85" s="3">
        <v>0.1</v>
      </c>
    </row>
    <row r="86" spans="1:7" ht="15.75" customHeight="1" x14ac:dyDescent="0.2">
      <c r="A86" s="5" t="s">
        <v>13</v>
      </c>
      <c r="B86" s="3">
        <v>0.1</v>
      </c>
    </row>
    <row r="87" spans="1:7" ht="15.75" customHeight="1" x14ac:dyDescent="0.2">
      <c r="A87" s="5" t="s">
        <v>53</v>
      </c>
      <c r="B87" s="3">
        <v>0.05</v>
      </c>
    </row>
    <row r="88" spans="1:7" ht="15.75" customHeight="1" x14ac:dyDescent="0.2">
      <c r="A88" s="6" t="s">
        <v>56</v>
      </c>
      <c r="B88" s="3">
        <v>0.1</v>
      </c>
    </row>
    <row r="89" spans="1:7" ht="15.75" customHeight="1" x14ac:dyDescent="0.2">
      <c r="A89" s="6" t="s">
        <v>14</v>
      </c>
      <c r="B89" s="3">
        <v>0.1</v>
      </c>
    </row>
    <row r="90" spans="1:7" ht="15.75" customHeight="1" x14ac:dyDescent="0.2">
      <c r="A90" s="6" t="s">
        <v>18</v>
      </c>
      <c r="B90" s="3">
        <v>0</v>
      </c>
    </row>
    <row r="91" spans="1:7" ht="15.75" customHeight="1" x14ac:dyDescent="0.2">
      <c r="A91" s="6" t="s">
        <v>54</v>
      </c>
      <c r="B91" s="3">
        <v>0</v>
      </c>
    </row>
    <row r="93" spans="1:7" ht="15.75" customHeight="1" x14ac:dyDescent="0.2">
      <c r="A93" t="s">
        <v>36</v>
      </c>
    </row>
    <row r="94" spans="1:7" ht="15.75" customHeight="1" x14ac:dyDescent="0.2">
      <c r="A94" s="1" t="s">
        <v>6</v>
      </c>
      <c r="B94" s="3">
        <v>0.12</v>
      </c>
      <c r="C94" s="8" t="s">
        <v>38</v>
      </c>
      <c r="D94" s="2" t="e">
        <f>SUM(#REF!)</f>
        <v>#REF!</v>
      </c>
    </row>
    <row r="95" spans="1:7" ht="15.75" customHeight="1" x14ac:dyDescent="0.2">
      <c r="A95" s="1" t="s">
        <v>7</v>
      </c>
      <c r="B95" s="3">
        <v>0.1</v>
      </c>
      <c r="C95" s="8" t="s">
        <v>39</v>
      </c>
      <c r="D95" s="8" t="s">
        <v>40</v>
      </c>
      <c r="E95" s="8" t="s">
        <v>11</v>
      </c>
      <c r="F95" s="8" t="s">
        <v>41</v>
      </c>
      <c r="G95" s="8" t="s">
        <v>42</v>
      </c>
    </row>
    <row r="96" spans="1:7" ht="15.75" customHeight="1" x14ac:dyDescent="0.2">
      <c r="A96" s="1" t="s">
        <v>50</v>
      </c>
      <c r="B96" s="3">
        <v>0.1</v>
      </c>
      <c r="C96" s="8" t="s">
        <v>43</v>
      </c>
      <c r="D96" s="9">
        <v>1.15594741666667E-2</v>
      </c>
      <c r="E96" s="10">
        <v>2.01407362873809E-2</v>
      </c>
      <c r="F96" s="10">
        <v>1.74235748071131</v>
      </c>
      <c r="G96" s="9">
        <v>0.27034324342468402</v>
      </c>
    </row>
    <row r="97" spans="1:7" ht="15.75" customHeight="1" x14ac:dyDescent="0.2">
      <c r="A97" s="1" t="s">
        <v>55</v>
      </c>
      <c r="B97" s="3">
        <v>0</v>
      </c>
      <c r="C97" s="8" t="s">
        <v>44</v>
      </c>
      <c r="D97" s="10">
        <v>1.0200000000000001E-2</v>
      </c>
      <c r="E97" s="10">
        <v>1.22214534039573E-2</v>
      </c>
      <c r="F97" s="10">
        <v>1.1981817062703199</v>
      </c>
      <c r="G97" s="9">
        <v>0.15692831981353</v>
      </c>
    </row>
    <row r="98" spans="1:7" ht="15.75" customHeight="1" x14ac:dyDescent="0.2">
      <c r="A98" s="1" t="s">
        <v>51</v>
      </c>
      <c r="B98" s="3">
        <v>0</v>
      </c>
      <c r="C98" s="8" t="s">
        <v>45</v>
      </c>
      <c r="D98" s="10">
        <v>1.01E-2</v>
      </c>
      <c r="E98" s="10">
        <v>1.27190849758269E-2</v>
      </c>
      <c r="F98" s="10">
        <v>1.2593153441412701</v>
      </c>
      <c r="G98" s="9">
        <v>0.163772079070101</v>
      </c>
    </row>
    <row r="99" spans="1:7" ht="15.75" customHeight="1" x14ac:dyDescent="0.2">
      <c r="A99" s="4" t="s">
        <v>10</v>
      </c>
      <c r="B99" s="3">
        <v>0</v>
      </c>
    </row>
    <row r="100" spans="1:7" ht="15.75" customHeight="1" x14ac:dyDescent="0.2">
      <c r="A100" s="4" t="s">
        <v>52</v>
      </c>
      <c r="B100" s="3">
        <v>0.1</v>
      </c>
    </row>
    <row r="101" spans="1:7" ht="15.75" customHeight="1" x14ac:dyDescent="0.2">
      <c r="A101" s="4" t="s">
        <v>65</v>
      </c>
      <c r="B101" s="3">
        <v>0.1</v>
      </c>
    </row>
    <row r="102" spans="1:7" ht="15.75" customHeight="1" x14ac:dyDescent="0.2">
      <c r="A102" s="5" t="s">
        <v>12</v>
      </c>
      <c r="B102" s="3">
        <v>0.1</v>
      </c>
    </row>
    <row r="103" spans="1:7" ht="15.75" customHeight="1" x14ac:dyDescent="0.2">
      <c r="A103" s="5" t="s">
        <v>13</v>
      </c>
      <c r="B103" s="3">
        <v>0.1</v>
      </c>
    </row>
    <row r="104" spans="1:7" ht="15.75" customHeight="1" x14ac:dyDescent="0.2">
      <c r="A104" s="5" t="s">
        <v>53</v>
      </c>
      <c r="B104" s="3">
        <v>0.08</v>
      </c>
    </row>
    <row r="105" spans="1:7" ht="15.75" customHeight="1" x14ac:dyDescent="0.2">
      <c r="A105" s="6" t="s">
        <v>56</v>
      </c>
      <c r="B105" s="3">
        <v>0</v>
      </c>
    </row>
    <row r="106" spans="1:7" ht="15.75" customHeight="1" x14ac:dyDescent="0.2">
      <c r="A106" s="6" t="s">
        <v>14</v>
      </c>
      <c r="B106" s="3">
        <v>0.1</v>
      </c>
    </row>
    <row r="107" spans="1:7" ht="15.75" customHeight="1" x14ac:dyDescent="0.2">
      <c r="A107" s="6" t="s">
        <v>18</v>
      </c>
      <c r="B107" s="3">
        <v>0</v>
      </c>
    </row>
    <row r="108" spans="1:7" ht="15.75" customHeight="1" x14ac:dyDescent="0.2">
      <c r="A108" s="6" t="s">
        <v>54</v>
      </c>
      <c r="B108" s="3">
        <v>0</v>
      </c>
    </row>
    <row r="109" spans="1:7" ht="15.75" customHeight="1" x14ac:dyDescent="0.2">
      <c r="A109" s="6" t="s">
        <v>17</v>
      </c>
      <c r="B109" s="3">
        <v>0.1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2"/>
  <sheetViews>
    <sheetView zoomScaleNormal="100" workbookViewId="0">
      <selection sqref="A1:A62"/>
    </sheetView>
  </sheetViews>
  <sheetFormatPr baseColWidth="10" defaultColWidth="10.5" defaultRowHeight="15.75" customHeight="1" x14ac:dyDescent="0.2"/>
  <cols>
    <col min="11" max="11" width="14.33203125" customWidth="1"/>
  </cols>
  <sheetData>
    <row r="1" spans="1:11" ht="15.75" customHeight="1" x14ac:dyDescent="0.2">
      <c r="A1" s="20" t="s">
        <v>66</v>
      </c>
      <c r="B1" s="8" t="s">
        <v>67</v>
      </c>
      <c r="C1" s="8" t="s">
        <v>68</v>
      </c>
      <c r="D1" s="8" t="s">
        <v>69</v>
      </c>
      <c r="E1" s="8" t="s">
        <v>70</v>
      </c>
      <c r="F1" s="8" t="s">
        <v>71</v>
      </c>
      <c r="G1" s="8" t="s">
        <v>72</v>
      </c>
      <c r="H1" s="8" t="s">
        <v>73</v>
      </c>
      <c r="I1" s="8" t="s">
        <v>74</v>
      </c>
      <c r="J1" s="8" t="s">
        <v>75</v>
      </c>
      <c r="K1" s="8" t="s">
        <v>76</v>
      </c>
    </row>
    <row r="2" spans="1:11" ht="15.75" customHeight="1" x14ac:dyDescent="0.2">
      <c r="A2" s="21" t="s">
        <v>40</v>
      </c>
      <c r="B2" s="10">
        <v>1.0200000000000001E-2</v>
      </c>
      <c r="C2" s="10">
        <v>1.1599999999999999E-2</v>
      </c>
      <c r="D2" s="10">
        <v>1.03E-2</v>
      </c>
      <c r="E2" s="10">
        <v>1.01E-2</v>
      </c>
      <c r="F2" s="10">
        <v>1</v>
      </c>
      <c r="G2" s="10">
        <v>1</v>
      </c>
      <c r="H2" s="10">
        <v>1</v>
      </c>
      <c r="I2" s="8" t="s">
        <v>77</v>
      </c>
      <c r="J2" s="8" t="s">
        <v>78</v>
      </c>
      <c r="K2" s="22" t="s">
        <v>79</v>
      </c>
    </row>
    <row r="3" spans="1:11" ht="15.75" customHeight="1" x14ac:dyDescent="0.2">
      <c r="A3" s="21" t="s">
        <v>80</v>
      </c>
      <c r="B3" s="10">
        <v>4.0000000000000001E-3</v>
      </c>
      <c r="C3" s="10">
        <v>3.5000000000000001E-3</v>
      </c>
      <c r="D3" s="10">
        <v>4.0000000000000001E-3</v>
      </c>
      <c r="E3" s="10">
        <v>3.7000000000000002E-3</v>
      </c>
      <c r="F3" s="10">
        <v>0.29759999999999998</v>
      </c>
      <c r="G3" s="10">
        <v>0.38450000000000001</v>
      </c>
      <c r="H3" s="10">
        <v>0.3609</v>
      </c>
      <c r="I3" s="8" t="s">
        <v>77</v>
      </c>
      <c r="J3" s="8" t="s">
        <v>78</v>
      </c>
      <c r="K3" s="22" t="s">
        <v>79</v>
      </c>
    </row>
    <row r="4" spans="1:11" ht="15.75" customHeight="1" x14ac:dyDescent="0.2">
      <c r="A4" s="21" t="s">
        <v>81</v>
      </c>
      <c r="B4" s="10">
        <v>1.0200000000000001E-2</v>
      </c>
      <c r="C4" s="10">
        <v>1.1599999999999999E-2</v>
      </c>
      <c r="D4" s="10">
        <v>1.03E-2</v>
      </c>
      <c r="E4" s="10">
        <v>1.01E-2</v>
      </c>
      <c r="F4" s="10">
        <v>1</v>
      </c>
      <c r="G4" s="10">
        <v>1.0004</v>
      </c>
      <c r="H4" s="10">
        <v>1</v>
      </c>
      <c r="I4" s="8" t="s">
        <v>77</v>
      </c>
      <c r="J4" s="8" t="s">
        <v>78</v>
      </c>
      <c r="K4" s="22" t="s">
        <v>79</v>
      </c>
    </row>
    <row r="5" spans="1:11" ht="15.75" customHeight="1" x14ac:dyDescent="0.2">
      <c r="A5" s="21" t="s">
        <v>82</v>
      </c>
      <c r="B5" s="10">
        <v>1.4500000000000001E-2</v>
      </c>
      <c r="C5" s="10">
        <v>2.8400000000000002E-2</v>
      </c>
      <c r="D5" s="10">
        <v>1.7500000000000002E-2</v>
      </c>
      <c r="E5" s="10">
        <v>1.7299999999999999E-2</v>
      </c>
      <c r="F5" s="10">
        <v>2.4500000000000002</v>
      </c>
      <c r="G5" s="10">
        <v>1.6924999999999999</v>
      </c>
      <c r="H5" s="10">
        <v>1.7098</v>
      </c>
      <c r="I5" s="8" t="s">
        <v>77</v>
      </c>
      <c r="J5" s="8" t="s">
        <v>78</v>
      </c>
      <c r="K5" s="22" t="s">
        <v>79</v>
      </c>
    </row>
    <row r="6" spans="1:11" ht="15.75" customHeight="1" x14ac:dyDescent="0.2">
      <c r="A6" s="21" t="s">
        <v>83</v>
      </c>
      <c r="B6" s="10">
        <v>-6.9999999999999999E-4</v>
      </c>
      <c r="C6" s="10">
        <v>-1.01E-2</v>
      </c>
      <c r="D6" s="10">
        <v>-1E-3</v>
      </c>
      <c r="E6" s="10">
        <v>4.0000000000000002E-4</v>
      </c>
      <c r="F6" s="10">
        <v>-0.87129999999999996</v>
      </c>
      <c r="G6" s="10">
        <v>-9.2700000000000005E-2</v>
      </c>
      <c r="H6" s="10">
        <v>4.0300000000000002E-2</v>
      </c>
      <c r="I6" s="8" t="s">
        <v>77</v>
      </c>
      <c r="J6" s="8" t="s">
        <v>78</v>
      </c>
      <c r="K6" s="22" t="s">
        <v>79</v>
      </c>
    </row>
    <row r="7" spans="1:11" ht="15.75" customHeight="1" x14ac:dyDescent="0.2">
      <c r="A7" s="23" t="s">
        <v>6</v>
      </c>
      <c r="B7" s="10">
        <v>1.01E-2</v>
      </c>
      <c r="C7" s="10">
        <v>1.1599999999999999E-2</v>
      </c>
      <c r="D7" s="10">
        <v>1.03E-2</v>
      </c>
      <c r="E7" s="10">
        <v>1.01E-2</v>
      </c>
      <c r="F7" s="10">
        <v>0.99639999999999995</v>
      </c>
      <c r="G7" s="10">
        <v>0.99639999999999995</v>
      </c>
      <c r="H7" s="10">
        <v>0.99729999999999996</v>
      </c>
      <c r="I7" s="8" t="s">
        <v>84</v>
      </c>
      <c r="J7" s="8" t="s">
        <v>78</v>
      </c>
      <c r="K7" s="22">
        <v>30</v>
      </c>
    </row>
    <row r="8" spans="1:11" ht="15.75" customHeight="1" x14ac:dyDescent="0.2">
      <c r="A8" s="23" t="s">
        <v>7</v>
      </c>
      <c r="B8" s="10">
        <v>1.0800000000000001E-2</v>
      </c>
      <c r="C8" s="10">
        <v>1.1900000000000001E-2</v>
      </c>
      <c r="D8" s="10">
        <v>1.09E-2</v>
      </c>
      <c r="E8" s="10">
        <v>1.09E-2</v>
      </c>
      <c r="F8" s="10">
        <v>1.0295000000000001</v>
      </c>
      <c r="G8" s="10">
        <v>1.0536000000000001</v>
      </c>
      <c r="H8" s="10">
        <v>1.071</v>
      </c>
      <c r="I8" s="8" t="s">
        <v>84</v>
      </c>
      <c r="J8" s="8" t="s">
        <v>78</v>
      </c>
      <c r="K8" s="22">
        <v>1000</v>
      </c>
    </row>
    <row r="9" spans="1:11" ht="15.75" customHeight="1" x14ac:dyDescent="0.2">
      <c r="A9" s="23" t="s">
        <v>50</v>
      </c>
      <c r="B9" s="10">
        <v>1.15E-2</v>
      </c>
      <c r="C9" s="10">
        <v>1.26E-2</v>
      </c>
      <c r="D9" s="10">
        <v>1.1599999999999999E-2</v>
      </c>
      <c r="E9" s="10">
        <v>1.15E-2</v>
      </c>
      <c r="F9" s="10">
        <v>1.0899000000000001</v>
      </c>
      <c r="G9" s="10">
        <v>1.1209</v>
      </c>
      <c r="H9" s="10">
        <v>1.1351</v>
      </c>
      <c r="I9" s="8" t="s">
        <v>84</v>
      </c>
      <c r="J9" s="8" t="s">
        <v>85</v>
      </c>
      <c r="K9" s="22">
        <v>500</v>
      </c>
    </row>
    <row r="10" spans="1:11" ht="15.75" customHeight="1" x14ac:dyDescent="0.2">
      <c r="A10" s="23" t="s">
        <v>86</v>
      </c>
      <c r="B10" s="10">
        <v>1.11E-2</v>
      </c>
      <c r="C10" s="10">
        <v>1.1900000000000001E-2</v>
      </c>
      <c r="D10" s="10">
        <v>1.11E-2</v>
      </c>
      <c r="E10" s="10">
        <v>1.0999999999999999E-2</v>
      </c>
      <c r="F10" s="10">
        <v>1.0251999999999999</v>
      </c>
      <c r="G10" s="10">
        <v>1.0697000000000001</v>
      </c>
      <c r="H10" s="10">
        <v>1.0899000000000001</v>
      </c>
      <c r="I10" s="8" t="s">
        <v>84</v>
      </c>
      <c r="J10" s="8" t="s">
        <v>85</v>
      </c>
      <c r="K10" s="22">
        <v>500</v>
      </c>
    </row>
    <row r="11" spans="1:11" ht="15.75" customHeight="1" x14ac:dyDescent="0.2">
      <c r="A11" s="23" t="s">
        <v>87</v>
      </c>
      <c r="B11" s="10">
        <v>1.1299999999999999E-2</v>
      </c>
      <c r="C11" s="10">
        <v>1.26E-2</v>
      </c>
      <c r="D11" s="10">
        <v>1.15E-2</v>
      </c>
      <c r="E11" s="10">
        <v>1.1299999999999999E-2</v>
      </c>
      <c r="F11" s="10">
        <v>1.0854999999999999</v>
      </c>
      <c r="G11" s="10">
        <v>1.1092</v>
      </c>
      <c r="H11" s="10">
        <v>1.1194999999999999</v>
      </c>
      <c r="I11" s="8" t="s">
        <v>84</v>
      </c>
      <c r="J11" s="8" t="s">
        <v>85</v>
      </c>
      <c r="K11" s="22">
        <v>500</v>
      </c>
    </row>
    <row r="12" spans="1:11" ht="15.75" customHeight="1" x14ac:dyDescent="0.2">
      <c r="A12" s="23" t="s">
        <v>88</v>
      </c>
      <c r="B12" s="10">
        <v>1.11E-2</v>
      </c>
      <c r="C12" s="10">
        <v>1.04E-2</v>
      </c>
      <c r="D12" s="10">
        <v>9.9000000000000008E-3</v>
      </c>
      <c r="E12" s="10">
        <v>1.1900000000000001E-2</v>
      </c>
      <c r="F12" s="10">
        <v>0.89790000000000003</v>
      </c>
      <c r="G12" s="10">
        <v>0.9617</v>
      </c>
      <c r="H12" s="10">
        <v>1.1773</v>
      </c>
      <c r="I12" s="8" t="s">
        <v>84</v>
      </c>
      <c r="J12" s="8" t="s">
        <v>78</v>
      </c>
      <c r="K12" s="22">
        <v>1000</v>
      </c>
    </row>
    <row r="13" spans="1:11" ht="15.75" customHeight="1" x14ac:dyDescent="0.2">
      <c r="A13" s="23" t="s">
        <v>89</v>
      </c>
      <c r="B13" s="10">
        <v>1.0500000000000001E-2</v>
      </c>
      <c r="C13" s="10">
        <v>1.0800000000000001E-2</v>
      </c>
      <c r="D13" s="10">
        <v>1.0500000000000001E-2</v>
      </c>
      <c r="E13" s="10">
        <v>1.11E-2</v>
      </c>
      <c r="F13" s="10">
        <v>0.93100000000000005</v>
      </c>
      <c r="G13" s="10">
        <v>1.0121</v>
      </c>
      <c r="H13" s="10">
        <v>1.0907</v>
      </c>
      <c r="I13" s="8" t="s">
        <v>84</v>
      </c>
      <c r="J13" s="8" t="s">
        <v>78</v>
      </c>
      <c r="K13" s="22">
        <v>1000</v>
      </c>
    </row>
    <row r="14" spans="1:11" ht="15.75" customHeight="1" x14ac:dyDescent="0.2">
      <c r="A14" s="23" t="s">
        <v>90</v>
      </c>
      <c r="B14" s="10">
        <v>1.0200000000000001E-2</v>
      </c>
      <c r="C14" s="10">
        <v>0.01</v>
      </c>
      <c r="D14" s="10">
        <v>1.0200000000000001E-2</v>
      </c>
      <c r="E14" s="10">
        <v>1.09E-2</v>
      </c>
      <c r="F14" s="10">
        <v>0.86629999999999996</v>
      </c>
      <c r="G14" s="10">
        <v>0.9859</v>
      </c>
      <c r="H14" s="10">
        <v>1.0772999999999999</v>
      </c>
      <c r="I14" s="8" t="s">
        <v>84</v>
      </c>
      <c r="J14" s="8" t="s">
        <v>78</v>
      </c>
      <c r="K14" s="22">
        <v>1000</v>
      </c>
    </row>
    <row r="15" spans="1:11" ht="15.75" customHeight="1" x14ac:dyDescent="0.2">
      <c r="A15" s="23" t="s">
        <v>91</v>
      </c>
      <c r="B15" s="10">
        <v>1.11E-2</v>
      </c>
      <c r="C15" s="10">
        <v>1.14E-2</v>
      </c>
      <c r="D15" s="10">
        <v>1.0800000000000001E-2</v>
      </c>
      <c r="E15" s="10">
        <v>1.12E-2</v>
      </c>
      <c r="F15" s="10">
        <v>0.9849</v>
      </c>
      <c r="G15" s="10">
        <v>1.0415000000000001</v>
      </c>
      <c r="H15" s="10">
        <v>1.1063000000000001</v>
      </c>
      <c r="I15" s="8" t="s">
        <v>84</v>
      </c>
      <c r="J15" s="8" t="s">
        <v>85</v>
      </c>
      <c r="K15" s="22">
        <v>500</v>
      </c>
    </row>
    <row r="16" spans="1:11" ht="15.75" customHeight="1" x14ac:dyDescent="0.2">
      <c r="A16" s="23" t="s">
        <v>8</v>
      </c>
      <c r="B16" s="10">
        <v>1.0699999999999999E-2</v>
      </c>
      <c r="C16" s="10">
        <v>1.1599999999999999E-2</v>
      </c>
      <c r="D16" s="10">
        <v>1.06E-2</v>
      </c>
      <c r="E16" s="10">
        <v>1.0800000000000001E-2</v>
      </c>
      <c r="F16" s="10">
        <v>0.99709999999999999</v>
      </c>
      <c r="G16" s="10">
        <v>1.0274000000000001</v>
      </c>
      <c r="H16" s="10">
        <v>1.0613999999999999</v>
      </c>
      <c r="I16" s="8" t="s">
        <v>84</v>
      </c>
      <c r="J16" s="8" t="s">
        <v>78</v>
      </c>
      <c r="K16" s="22">
        <v>500</v>
      </c>
    </row>
    <row r="17" spans="1:11" ht="15.75" customHeight="1" x14ac:dyDescent="0.2">
      <c r="A17" s="23" t="s">
        <v>92</v>
      </c>
      <c r="B17" s="10">
        <v>1.03E-2</v>
      </c>
      <c r="C17" s="10">
        <v>1.14E-2</v>
      </c>
      <c r="D17" s="10">
        <v>1.0200000000000001E-2</v>
      </c>
      <c r="E17" s="10">
        <v>1.0200000000000001E-2</v>
      </c>
      <c r="F17" s="10">
        <v>0.98709999999999998</v>
      </c>
      <c r="G17" s="10">
        <v>0.98429999999999995</v>
      </c>
      <c r="H17" s="10">
        <v>1.0099</v>
      </c>
      <c r="I17" s="8" t="s">
        <v>84</v>
      </c>
      <c r="J17" s="8" t="s">
        <v>78</v>
      </c>
      <c r="K17" s="22">
        <v>100</v>
      </c>
    </row>
    <row r="18" spans="1:11" ht="15.75" customHeight="1" x14ac:dyDescent="0.2">
      <c r="A18" s="23" t="s">
        <v>93</v>
      </c>
      <c r="B18" s="10">
        <v>1.0200000000000001E-2</v>
      </c>
      <c r="C18" s="10">
        <v>1.09E-2</v>
      </c>
      <c r="D18" s="10">
        <v>1.03E-2</v>
      </c>
      <c r="E18" s="10">
        <v>1.0999999999999999E-2</v>
      </c>
      <c r="F18" s="10">
        <v>0.94179999999999997</v>
      </c>
      <c r="G18" s="10">
        <v>0.99960000000000004</v>
      </c>
      <c r="H18" s="10">
        <v>1.0810999999999999</v>
      </c>
      <c r="I18" s="8" t="s">
        <v>84</v>
      </c>
      <c r="J18" s="8" t="s">
        <v>78</v>
      </c>
      <c r="K18" s="22">
        <v>500</v>
      </c>
    </row>
    <row r="19" spans="1:11" ht="15.75" customHeight="1" x14ac:dyDescent="0.2">
      <c r="A19" s="23" t="s">
        <v>55</v>
      </c>
      <c r="B19" s="10">
        <v>1.03E-2</v>
      </c>
      <c r="C19" s="10">
        <v>1.14E-2</v>
      </c>
      <c r="D19" s="10">
        <v>1.12E-2</v>
      </c>
      <c r="E19" s="10">
        <v>1.12E-2</v>
      </c>
      <c r="F19" s="10">
        <v>0.98629999999999995</v>
      </c>
      <c r="G19" s="10">
        <v>1.0798000000000001</v>
      </c>
      <c r="H19" s="10">
        <v>1.1006</v>
      </c>
      <c r="I19" s="8" t="s">
        <v>84</v>
      </c>
      <c r="J19" s="8" t="s">
        <v>85</v>
      </c>
      <c r="K19" s="22">
        <v>5000</v>
      </c>
    </row>
    <row r="20" spans="1:11" ht="15.75" customHeight="1" x14ac:dyDescent="0.2">
      <c r="A20" s="23" t="s">
        <v>94</v>
      </c>
      <c r="B20" s="10">
        <v>8.3999999999999995E-3</v>
      </c>
      <c r="C20" s="10">
        <v>8.3000000000000001E-3</v>
      </c>
      <c r="D20" s="10">
        <v>8.0999999999999996E-3</v>
      </c>
      <c r="E20" s="10">
        <v>8.9999999999999993E-3</v>
      </c>
      <c r="F20" s="10">
        <v>0.71389999999999998</v>
      </c>
      <c r="G20" s="10">
        <v>0.78680000000000005</v>
      </c>
      <c r="H20" s="10">
        <v>0.88680000000000003</v>
      </c>
      <c r="I20" s="8" t="s">
        <v>84</v>
      </c>
      <c r="J20" s="8" t="s">
        <v>78</v>
      </c>
      <c r="K20" s="22">
        <v>1000</v>
      </c>
    </row>
    <row r="21" spans="1:11" ht="15.75" customHeight="1" x14ac:dyDescent="0.2">
      <c r="A21" s="23" t="s">
        <v>95</v>
      </c>
      <c r="B21" s="10">
        <v>7.7000000000000002E-3</v>
      </c>
      <c r="C21" s="10">
        <v>6.4000000000000003E-3</v>
      </c>
      <c r="D21" s="10">
        <v>6.6E-3</v>
      </c>
      <c r="E21" s="10">
        <v>8.2000000000000007E-3</v>
      </c>
      <c r="F21" s="10">
        <v>0.55569999999999997</v>
      </c>
      <c r="G21" s="10">
        <v>0.63849999999999996</v>
      </c>
      <c r="H21" s="10">
        <v>0.80979999999999996</v>
      </c>
      <c r="I21" s="8" t="s">
        <v>84</v>
      </c>
      <c r="J21" s="8" t="s">
        <v>85</v>
      </c>
      <c r="K21" s="22">
        <v>1000</v>
      </c>
    </row>
    <row r="22" spans="1:11" ht="15.75" customHeight="1" x14ac:dyDescent="0.2">
      <c r="A22" s="23" t="s">
        <v>51</v>
      </c>
      <c r="B22" s="10">
        <v>1.2200000000000001E-2</v>
      </c>
      <c r="C22" s="10">
        <v>1.35E-2</v>
      </c>
      <c r="D22" s="10">
        <v>1.24E-2</v>
      </c>
      <c r="E22" s="10">
        <v>1.2200000000000001E-2</v>
      </c>
      <c r="F22" s="10">
        <v>1.1625000000000001</v>
      </c>
      <c r="G22" s="10">
        <v>1.1959</v>
      </c>
      <c r="H22" s="10">
        <v>1.2039</v>
      </c>
      <c r="I22" s="8" t="s">
        <v>84</v>
      </c>
      <c r="J22" s="8" t="s">
        <v>85</v>
      </c>
      <c r="K22" s="22">
        <v>10000</v>
      </c>
    </row>
    <row r="23" spans="1:11" ht="15.75" customHeight="1" x14ac:dyDescent="0.2">
      <c r="A23" s="23" t="s">
        <v>9</v>
      </c>
      <c r="B23" s="10">
        <v>1.0200000000000001E-2</v>
      </c>
      <c r="C23" s="10">
        <v>1.17E-2</v>
      </c>
      <c r="D23" s="10">
        <v>1.06E-2</v>
      </c>
      <c r="E23" s="10">
        <v>1.06E-2</v>
      </c>
      <c r="F23" s="10">
        <v>1.0122</v>
      </c>
      <c r="G23" s="10">
        <v>1.0298</v>
      </c>
      <c r="H23" s="10">
        <v>1.0470999999999999</v>
      </c>
      <c r="I23" s="8" t="s">
        <v>84</v>
      </c>
      <c r="J23" s="8" t="s">
        <v>78</v>
      </c>
      <c r="K23" s="22">
        <v>1000</v>
      </c>
    </row>
    <row r="24" spans="1:11" ht="15.75" customHeight="1" x14ac:dyDescent="0.2">
      <c r="A24" s="23" t="s">
        <v>96</v>
      </c>
      <c r="B24" s="10">
        <v>1.1299999999999999E-2</v>
      </c>
      <c r="C24" s="10">
        <v>1.2800000000000001E-2</v>
      </c>
      <c r="D24" s="10">
        <v>1.17E-2</v>
      </c>
      <c r="E24" s="10">
        <v>1.1900000000000001E-2</v>
      </c>
      <c r="F24" s="10">
        <v>1.1028</v>
      </c>
      <c r="G24" s="10">
        <v>1.1297999999999999</v>
      </c>
      <c r="H24" s="10">
        <v>1.1748000000000001</v>
      </c>
      <c r="I24" s="8" t="s">
        <v>84</v>
      </c>
      <c r="J24" s="8" t="s">
        <v>97</v>
      </c>
      <c r="K24" s="22">
        <v>10000</v>
      </c>
    </row>
    <row r="25" spans="1:11" ht="15.75" customHeight="1" x14ac:dyDescent="0.2">
      <c r="A25" s="23" t="s">
        <v>98</v>
      </c>
      <c r="B25" s="10">
        <v>0.01</v>
      </c>
      <c r="C25" s="10">
        <v>1.0200000000000001E-2</v>
      </c>
      <c r="D25" s="10">
        <v>1.0500000000000001E-2</v>
      </c>
      <c r="E25" s="10">
        <v>9.9000000000000008E-3</v>
      </c>
      <c r="F25" s="10">
        <v>0.88349999999999995</v>
      </c>
      <c r="G25" s="10">
        <v>1.0113000000000001</v>
      </c>
      <c r="H25" s="10">
        <v>0.97309999999999997</v>
      </c>
      <c r="I25" s="8" t="s">
        <v>84</v>
      </c>
      <c r="J25" s="8" t="s">
        <v>78</v>
      </c>
      <c r="K25" s="22">
        <v>500</v>
      </c>
    </row>
    <row r="26" spans="1:11" ht="15.75" customHeight="1" x14ac:dyDescent="0.2">
      <c r="A26" s="23" t="s">
        <v>99</v>
      </c>
      <c r="B26" s="10">
        <v>9.9000000000000008E-3</v>
      </c>
      <c r="C26" s="10">
        <v>7.4000000000000003E-3</v>
      </c>
      <c r="D26" s="10">
        <v>9.4999999999999998E-3</v>
      </c>
      <c r="E26" s="10">
        <v>9.7999999999999997E-3</v>
      </c>
      <c r="F26" s="10">
        <v>0.63839999999999997</v>
      </c>
      <c r="G26" s="10">
        <v>0.91579999999999995</v>
      </c>
      <c r="H26" s="10">
        <v>0.97070000000000001</v>
      </c>
      <c r="I26" s="8" t="s">
        <v>84</v>
      </c>
      <c r="J26" s="8" t="s">
        <v>85</v>
      </c>
      <c r="K26" s="22">
        <v>100</v>
      </c>
    </row>
    <row r="27" spans="1:11" ht="15.75" customHeight="1" x14ac:dyDescent="0.2">
      <c r="A27" s="11" t="s">
        <v>100</v>
      </c>
      <c r="B27" s="10">
        <v>1.01E-2</v>
      </c>
      <c r="C27" s="10">
        <v>1.1599999999999999E-2</v>
      </c>
      <c r="D27" s="10">
        <v>1.03E-2</v>
      </c>
      <c r="E27" s="10">
        <v>1.01E-2</v>
      </c>
      <c r="F27" s="10">
        <v>0.99780000000000002</v>
      </c>
      <c r="G27" s="10">
        <v>0.99519999999999997</v>
      </c>
      <c r="H27" s="10">
        <v>0.99419999999999997</v>
      </c>
      <c r="I27" s="8" t="s">
        <v>84</v>
      </c>
      <c r="J27" s="8" t="s">
        <v>78</v>
      </c>
      <c r="K27" s="22">
        <v>500</v>
      </c>
    </row>
    <row r="28" spans="1:11" ht="15.75" customHeight="1" x14ac:dyDescent="0.2">
      <c r="A28" s="11" t="s">
        <v>10</v>
      </c>
      <c r="B28" s="10">
        <v>1.23E-2</v>
      </c>
      <c r="C28" s="10">
        <v>1.18E-2</v>
      </c>
      <c r="D28" s="10">
        <v>1.1599999999999999E-2</v>
      </c>
      <c r="E28" s="10">
        <v>1.34E-2</v>
      </c>
      <c r="F28" s="10">
        <v>1.0216000000000001</v>
      </c>
      <c r="G28" s="10">
        <v>1.1189</v>
      </c>
      <c r="H28" s="10">
        <v>1.3261000000000001</v>
      </c>
      <c r="I28" s="8" t="s">
        <v>84</v>
      </c>
      <c r="J28" s="8" t="s">
        <v>78</v>
      </c>
      <c r="K28" s="22">
        <v>3000</v>
      </c>
    </row>
    <row r="29" spans="1:11" ht="15.75" customHeight="1" x14ac:dyDescent="0.2">
      <c r="A29" s="11" t="s">
        <v>101</v>
      </c>
      <c r="B29" s="10">
        <v>9.4999999999999998E-3</v>
      </c>
      <c r="C29" s="10">
        <v>9.4000000000000004E-3</v>
      </c>
      <c r="D29" s="10">
        <v>9.5999999999999992E-3</v>
      </c>
      <c r="E29" s="10">
        <v>9.4999999999999998E-3</v>
      </c>
      <c r="F29" s="10">
        <v>0.81020000000000003</v>
      </c>
      <c r="G29" s="10">
        <v>0.9274</v>
      </c>
      <c r="H29" s="10">
        <v>0.93259999999999998</v>
      </c>
      <c r="I29" s="8" t="s">
        <v>84</v>
      </c>
      <c r="J29" s="8" t="s">
        <v>78</v>
      </c>
      <c r="K29" s="22">
        <v>500</v>
      </c>
    </row>
    <row r="30" spans="1:11" ht="15.75" customHeight="1" x14ac:dyDescent="0.2">
      <c r="A30" s="11" t="s">
        <v>102</v>
      </c>
      <c r="B30" s="10">
        <v>6.7999999999999996E-3</v>
      </c>
      <c r="C30" s="10">
        <v>8.6E-3</v>
      </c>
      <c r="D30" s="10">
        <v>6.8999999999999999E-3</v>
      </c>
      <c r="E30" s="10">
        <v>6.4000000000000003E-3</v>
      </c>
      <c r="F30" s="10">
        <v>0.74550000000000005</v>
      </c>
      <c r="G30" s="10">
        <v>0.66300000000000003</v>
      </c>
      <c r="H30" s="10">
        <v>0.63060000000000005</v>
      </c>
      <c r="I30" s="8" t="s">
        <v>84</v>
      </c>
      <c r="J30" s="8" t="s">
        <v>78</v>
      </c>
      <c r="K30" s="22">
        <v>500</v>
      </c>
    </row>
    <row r="31" spans="1:11" ht="15.75" customHeight="1" x14ac:dyDescent="0.2">
      <c r="A31" s="11" t="s">
        <v>103</v>
      </c>
      <c r="B31" s="10">
        <v>9.1000000000000004E-3</v>
      </c>
      <c r="C31" s="10">
        <v>1.04E-2</v>
      </c>
      <c r="D31" s="10">
        <v>8.5000000000000006E-3</v>
      </c>
      <c r="E31" s="10">
        <v>8.6999999999999994E-3</v>
      </c>
      <c r="F31" s="10">
        <v>0.89580000000000004</v>
      </c>
      <c r="G31" s="10">
        <v>0.82020000000000004</v>
      </c>
      <c r="H31" s="10">
        <v>0.86299999999999999</v>
      </c>
      <c r="I31" s="8" t="s">
        <v>84</v>
      </c>
      <c r="J31" s="8" t="s">
        <v>78</v>
      </c>
      <c r="K31" s="22">
        <v>100</v>
      </c>
    </row>
    <row r="32" spans="1:11" ht="15.75" customHeight="1" x14ac:dyDescent="0.2">
      <c r="A32" s="11" t="s">
        <v>52</v>
      </c>
      <c r="B32" s="10">
        <v>2.0299999999999999E-2</v>
      </c>
      <c r="C32" s="10">
        <v>1.49E-2</v>
      </c>
      <c r="D32" s="10">
        <v>1.83E-2</v>
      </c>
      <c r="E32" s="10">
        <v>1.9900000000000001E-2</v>
      </c>
      <c r="F32" s="10">
        <v>1.2854000000000001</v>
      </c>
      <c r="G32" s="10">
        <v>1.7715000000000001</v>
      </c>
      <c r="H32" s="10">
        <v>1.96</v>
      </c>
      <c r="I32" s="8" t="s">
        <v>84</v>
      </c>
      <c r="J32" s="8" t="s">
        <v>85</v>
      </c>
      <c r="K32" s="22">
        <v>10000</v>
      </c>
    </row>
    <row r="33" spans="1:11" ht="15.75" customHeight="1" x14ac:dyDescent="0.2">
      <c r="A33" s="24" t="s">
        <v>104</v>
      </c>
      <c r="B33" s="10">
        <v>5.7999999999999996E-3</v>
      </c>
      <c r="C33" s="10">
        <v>4.7999999999999996E-3</v>
      </c>
      <c r="D33" s="10">
        <v>5.7000000000000002E-3</v>
      </c>
      <c r="E33" s="10">
        <v>5.5999999999999999E-3</v>
      </c>
      <c r="F33" s="10">
        <v>0.41770000000000002</v>
      </c>
      <c r="G33" s="10">
        <v>0.55500000000000005</v>
      </c>
      <c r="H33" s="10">
        <v>0.55220000000000002</v>
      </c>
      <c r="I33" s="8" t="s">
        <v>105</v>
      </c>
      <c r="J33" s="8" t="s">
        <v>78</v>
      </c>
      <c r="K33" s="22">
        <v>10000</v>
      </c>
    </row>
    <row r="34" spans="1:11" ht="15.75" customHeight="1" x14ac:dyDescent="0.2">
      <c r="A34" s="24" t="s">
        <v>106</v>
      </c>
      <c r="B34" s="10">
        <v>4.4999999999999997E-3</v>
      </c>
      <c r="C34" s="10">
        <v>2.2000000000000001E-3</v>
      </c>
      <c r="D34" s="10">
        <v>4.1999999999999997E-3</v>
      </c>
      <c r="E34" s="10">
        <v>4.1000000000000003E-3</v>
      </c>
      <c r="F34" s="10">
        <v>0.18840000000000001</v>
      </c>
      <c r="G34" s="10">
        <v>0.40589999999999998</v>
      </c>
      <c r="H34" s="10">
        <v>0.40639999999999998</v>
      </c>
      <c r="I34" s="8" t="s">
        <v>105</v>
      </c>
      <c r="J34" s="8" t="s">
        <v>85</v>
      </c>
      <c r="K34" s="22">
        <v>10000</v>
      </c>
    </row>
    <row r="35" spans="1:11" ht="15.75" customHeight="1" x14ac:dyDescent="0.2">
      <c r="A35" s="24" t="s">
        <v>107</v>
      </c>
      <c r="B35" s="10">
        <v>6.4999999999999997E-3</v>
      </c>
      <c r="C35" s="10">
        <v>5.4000000000000003E-3</v>
      </c>
      <c r="D35" s="10">
        <v>8.6E-3</v>
      </c>
      <c r="E35" s="10">
        <v>7.1999999999999998E-3</v>
      </c>
      <c r="F35" s="10">
        <v>0.46229999999999999</v>
      </c>
      <c r="G35" s="10">
        <v>0.83069999999999999</v>
      </c>
      <c r="H35" s="10">
        <v>0.70569999999999999</v>
      </c>
      <c r="I35" s="8" t="s">
        <v>105</v>
      </c>
      <c r="J35" s="8" t="s">
        <v>78</v>
      </c>
      <c r="K35" s="22">
        <v>5000</v>
      </c>
    </row>
    <row r="36" spans="1:11" ht="15.75" customHeight="1" x14ac:dyDescent="0.2">
      <c r="A36" s="24" t="s">
        <v>108</v>
      </c>
      <c r="B36" s="10">
        <v>9.9000000000000008E-3</v>
      </c>
      <c r="C36" s="10">
        <v>1.24E-2</v>
      </c>
      <c r="D36" s="10">
        <v>1.2E-2</v>
      </c>
      <c r="E36" s="10">
        <v>1.01E-2</v>
      </c>
      <c r="F36" s="10">
        <v>1.069</v>
      </c>
      <c r="G36" s="10">
        <v>1.1572</v>
      </c>
      <c r="H36" s="10">
        <v>0.99639999999999995</v>
      </c>
      <c r="I36" s="8" t="s">
        <v>105</v>
      </c>
      <c r="J36" s="8" t="s">
        <v>78</v>
      </c>
      <c r="K36" s="22">
        <v>500</v>
      </c>
    </row>
    <row r="37" spans="1:11" ht="15.75" customHeight="1" x14ac:dyDescent="0.2">
      <c r="A37" s="24" t="s">
        <v>109</v>
      </c>
      <c r="B37" s="10">
        <v>9.7000000000000003E-3</v>
      </c>
      <c r="C37" s="10">
        <v>1.34E-2</v>
      </c>
      <c r="D37" s="10">
        <v>1.32E-2</v>
      </c>
      <c r="E37" s="10">
        <v>1.01E-2</v>
      </c>
      <c r="F37" s="10">
        <v>1.1537999999999999</v>
      </c>
      <c r="G37" s="10">
        <v>1.2773000000000001</v>
      </c>
      <c r="H37" s="10">
        <v>0.99729999999999996</v>
      </c>
      <c r="I37" s="8" t="s">
        <v>105</v>
      </c>
      <c r="J37" s="8" t="s">
        <v>85</v>
      </c>
      <c r="K37" s="22">
        <v>500</v>
      </c>
    </row>
    <row r="38" spans="1:11" ht="15.75" customHeight="1" x14ac:dyDescent="0.2">
      <c r="A38" s="24" t="s">
        <v>110</v>
      </c>
      <c r="B38" s="10">
        <v>0.01</v>
      </c>
      <c r="C38" s="10">
        <v>1.46E-2</v>
      </c>
      <c r="D38" s="10">
        <v>1.14E-2</v>
      </c>
      <c r="E38" s="10">
        <v>1.0500000000000001E-2</v>
      </c>
      <c r="F38" s="10">
        <v>1.2587999999999999</v>
      </c>
      <c r="G38" s="10">
        <v>1.1015999999999999</v>
      </c>
      <c r="H38" s="10">
        <v>1.0406</v>
      </c>
      <c r="I38" s="8" t="s">
        <v>105</v>
      </c>
      <c r="J38" s="8" t="s">
        <v>78</v>
      </c>
      <c r="K38" s="22">
        <v>500</v>
      </c>
    </row>
    <row r="39" spans="1:11" ht="15.75" customHeight="1" x14ac:dyDescent="0.2">
      <c r="A39" s="11" t="s">
        <v>65</v>
      </c>
      <c r="B39" s="10">
        <v>1.11E-2</v>
      </c>
      <c r="C39" s="10">
        <v>1.17E-2</v>
      </c>
      <c r="D39" s="10">
        <v>1.09E-2</v>
      </c>
      <c r="E39" s="10">
        <v>1.1299999999999999E-2</v>
      </c>
      <c r="F39" s="10">
        <v>1.0072000000000001</v>
      </c>
      <c r="G39" s="10">
        <v>1.054</v>
      </c>
      <c r="H39" s="10">
        <v>1.1148</v>
      </c>
      <c r="I39" s="8" t="s">
        <v>84</v>
      </c>
      <c r="J39" s="8" t="s">
        <v>85</v>
      </c>
      <c r="K39" s="22">
        <v>500</v>
      </c>
    </row>
    <row r="40" spans="1:11" ht="15.75" customHeight="1" x14ac:dyDescent="0.2">
      <c r="A40" s="24" t="s">
        <v>111</v>
      </c>
      <c r="B40" s="10">
        <v>3.0999999999999999E-3</v>
      </c>
      <c r="C40" s="10">
        <v>-3.0999999999999999E-3</v>
      </c>
      <c r="D40" s="10">
        <v>4.8999999999999998E-3</v>
      </c>
      <c r="E40" s="10">
        <v>3.7000000000000002E-3</v>
      </c>
      <c r="F40" s="10">
        <v>-0.26889999999999997</v>
      </c>
      <c r="G40" s="10">
        <v>0.47839999999999999</v>
      </c>
      <c r="H40" s="10">
        <v>0.36370000000000002</v>
      </c>
      <c r="I40" s="8" t="s">
        <v>105</v>
      </c>
      <c r="J40" s="8" t="s">
        <v>78</v>
      </c>
      <c r="K40" s="22">
        <v>5000</v>
      </c>
    </row>
    <row r="41" spans="1:11" ht="15.75" customHeight="1" x14ac:dyDescent="0.2">
      <c r="A41" s="24" t="s">
        <v>112</v>
      </c>
      <c r="B41" s="10">
        <v>6.4000000000000003E-3</v>
      </c>
      <c r="C41" s="10">
        <v>8.2000000000000007E-3</v>
      </c>
      <c r="D41" s="10">
        <v>1.04E-2</v>
      </c>
      <c r="E41" s="10">
        <v>6.4999999999999997E-3</v>
      </c>
      <c r="F41" s="10">
        <v>0.70520000000000005</v>
      </c>
      <c r="G41" s="10">
        <v>1.006</v>
      </c>
      <c r="H41" s="10">
        <v>0.64129999999999998</v>
      </c>
      <c r="I41" s="8" t="s">
        <v>105</v>
      </c>
      <c r="J41" s="8" t="s">
        <v>85</v>
      </c>
      <c r="K41" s="22">
        <v>50000</v>
      </c>
    </row>
    <row r="42" spans="1:11" ht="15.75" customHeight="1" x14ac:dyDescent="0.2">
      <c r="A42" s="24" t="s">
        <v>113</v>
      </c>
      <c r="B42" s="10">
        <v>3.0999999999999999E-3</v>
      </c>
      <c r="C42" s="10">
        <v>5.3E-3</v>
      </c>
      <c r="D42" s="10">
        <v>1.0999999999999999E-2</v>
      </c>
      <c r="E42" s="10">
        <v>3.3E-3</v>
      </c>
      <c r="F42" s="10">
        <v>0.46010000000000001</v>
      </c>
      <c r="G42" s="10">
        <v>1.0605</v>
      </c>
      <c r="H42" s="10">
        <v>0.32579999999999998</v>
      </c>
      <c r="I42" s="8" t="s">
        <v>105</v>
      </c>
      <c r="J42" s="8" t="s">
        <v>85</v>
      </c>
      <c r="K42" s="22">
        <v>200000</v>
      </c>
    </row>
    <row r="43" spans="1:11" ht="15.75" customHeight="1" x14ac:dyDescent="0.2">
      <c r="A43" s="24" t="s">
        <v>114</v>
      </c>
      <c r="B43" s="10">
        <v>8.8999999999999999E-3</v>
      </c>
      <c r="C43" s="10">
        <v>1.0200000000000001E-2</v>
      </c>
      <c r="D43" s="10">
        <v>8.2000000000000007E-3</v>
      </c>
      <c r="E43" s="10">
        <v>8.6999999999999994E-3</v>
      </c>
      <c r="F43" s="10">
        <v>0.87849999999999995</v>
      </c>
      <c r="G43" s="10">
        <v>0.79200000000000004</v>
      </c>
      <c r="H43" s="10">
        <v>0.85860000000000003</v>
      </c>
      <c r="I43" s="8" t="s">
        <v>105</v>
      </c>
      <c r="J43" s="8" t="s">
        <v>85</v>
      </c>
      <c r="K43" s="22">
        <v>100</v>
      </c>
    </row>
    <row r="44" spans="1:11" ht="15.75" customHeight="1" x14ac:dyDescent="0.2">
      <c r="A44" s="24" t="s">
        <v>115</v>
      </c>
      <c r="B44" s="10">
        <v>1.15E-2</v>
      </c>
      <c r="C44" s="10">
        <v>1.44E-2</v>
      </c>
      <c r="D44" s="10">
        <v>1.4500000000000001E-2</v>
      </c>
      <c r="E44" s="10">
        <v>1.2200000000000001E-2</v>
      </c>
      <c r="F44" s="10">
        <v>1.2451000000000001</v>
      </c>
      <c r="G44" s="10">
        <v>1.4035</v>
      </c>
      <c r="H44" s="10">
        <v>1.2058</v>
      </c>
      <c r="I44" s="8" t="s">
        <v>105</v>
      </c>
      <c r="J44" s="8" t="s">
        <v>78</v>
      </c>
      <c r="K44" s="22">
        <v>50000</v>
      </c>
    </row>
    <row r="45" spans="1:11" ht="15.75" customHeight="1" x14ac:dyDescent="0.2">
      <c r="A45" s="24" t="s">
        <v>116</v>
      </c>
      <c r="B45" s="10">
        <v>8.0000000000000004E-4</v>
      </c>
      <c r="C45" s="10">
        <v>-2.1700000000000001E-2</v>
      </c>
      <c r="D45" s="10">
        <v>3.7000000000000002E-3</v>
      </c>
      <c r="E45" s="10">
        <v>4.4000000000000003E-3</v>
      </c>
      <c r="F45" s="10">
        <v>-1.8698999999999999</v>
      </c>
      <c r="G45" s="10">
        <v>0.35389999999999999</v>
      </c>
      <c r="H45" s="10">
        <v>0.43159999999999998</v>
      </c>
      <c r="I45" s="8" t="s">
        <v>105</v>
      </c>
      <c r="J45" s="8" t="s">
        <v>85</v>
      </c>
      <c r="K45" s="22">
        <v>5000</v>
      </c>
    </row>
    <row r="46" spans="1:11" ht="15.75" customHeight="1" x14ac:dyDescent="0.2">
      <c r="A46" s="24" t="s">
        <v>117</v>
      </c>
      <c r="B46" s="10">
        <v>5.3E-3</v>
      </c>
      <c r="C46" s="10">
        <v>-5.4000000000000003E-3</v>
      </c>
      <c r="D46" s="10">
        <v>6.1000000000000004E-3</v>
      </c>
      <c r="E46" s="10">
        <v>6.4000000000000003E-3</v>
      </c>
      <c r="F46" s="10">
        <v>-0.46589999999999998</v>
      </c>
      <c r="G46" s="10">
        <v>0.58650000000000002</v>
      </c>
      <c r="H46" s="10">
        <v>0.63060000000000005</v>
      </c>
      <c r="I46" s="8" t="s">
        <v>105</v>
      </c>
      <c r="J46" s="8" t="s">
        <v>78</v>
      </c>
      <c r="K46" s="22">
        <v>5000</v>
      </c>
    </row>
    <row r="47" spans="1:11" ht="15.75" customHeight="1" x14ac:dyDescent="0.2">
      <c r="A47" s="24" t="s">
        <v>118</v>
      </c>
      <c r="B47" s="10">
        <v>1.0999999999999999E-2</v>
      </c>
      <c r="C47" s="10">
        <v>1.8499999999999999E-2</v>
      </c>
      <c r="D47" s="10">
        <v>1.21E-2</v>
      </c>
      <c r="E47" s="10">
        <v>1.2E-2</v>
      </c>
      <c r="F47" s="10">
        <v>1.5981000000000001</v>
      </c>
      <c r="G47" s="10">
        <v>1.1720999999999999</v>
      </c>
      <c r="H47" s="10">
        <v>1.1828000000000001</v>
      </c>
      <c r="I47" s="8" t="s">
        <v>105</v>
      </c>
      <c r="J47" s="8" t="s">
        <v>78</v>
      </c>
      <c r="K47" s="22">
        <v>500</v>
      </c>
    </row>
    <row r="48" spans="1:11" ht="15.75" customHeight="1" x14ac:dyDescent="0.2">
      <c r="A48" s="24" t="s">
        <v>119</v>
      </c>
      <c r="B48" s="10">
        <v>9.7000000000000003E-3</v>
      </c>
      <c r="C48" s="10">
        <v>5.4000000000000003E-3</v>
      </c>
      <c r="D48" s="10">
        <v>9.4999999999999998E-3</v>
      </c>
      <c r="E48" s="10">
        <v>9.7999999999999997E-3</v>
      </c>
      <c r="F48" s="10">
        <v>0.4637</v>
      </c>
      <c r="G48" s="10">
        <v>0.9214</v>
      </c>
      <c r="H48" s="10">
        <v>0.96220000000000006</v>
      </c>
      <c r="I48" s="8" t="s">
        <v>105</v>
      </c>
      <c r="J48" s="8" t="s">
        <v>78</v>
      </c>
      <c r="K48" s="22">
        <v>500</v>
      </c>
    </row>
    <row r="49" spans="1:11" ht="15.75" customHeight="1" x14ac:dyDescent="0.2">
      <c r="A49" s="24" t="s">
        <v>53</v>
      </c>
      <c r="B49" s="10">
        <v>1.5800000000000002E-2</v>
      </c>
      <c r="C49" s="10">
        <v>3.4700000000000002E-2</v>
      </c>
      <c r="D49" s="10">
        <v>2.3699999999999999E-2</v>
      </c>
      <c r="E49" s="10">
        <v>2.01E-2</v>
      </c>
      <c r="F49" s="10">
        <v>2.9935</v>
      </c>
      <c r="G49" s="10">
        <v>2.2906</v>
      </c>
      <c r="H49" s="10">
        <v>1.9838</v>
      </c>
      <c r="I49" s="8" t="s">
        <v>105</v>
      </c>
      <c r="J49" s="8" t="s">
        <v>85</v>
      </c>
      <c r="K49" s="22">
        <v>500</v>
      </c>
    </row>
    <row r="50" spans="1:11" ht="15.75" customHeight="1" x14ac:dyDescent="0.2">
      <c r="A50" s="25" t="s">
        <v>120</v>
      </c>
      <c r="B50" s="10">
        <v>1.2500000000000001E-2</v>
      </c>
      <c r="C50" s="10">
        <v>1.18E-2</v>
      </c>
      <c r="D50" s="10">
        <v>9.7000000000000003E-3</v>
      </c>
      <c r="E50" s="10">
        <v>1.32E-2</v>
      </c>
      <c r="F50" s="10">
        <v>1.0158</v>
      </c>
      <c r="G50" s="10">
        <v>0.93989999999999996</v>
      </c>
      <c r="H50" s="10">
        <v>1.3064</v>
      </c>
      <c r="I50" s="8" t="s">
        <v>121</v>
      </c>
      <c r="J50" s="8" t="s">
        <v>97</v>
      </c>
      <c r="K50" s="22">
        <v>50000</v>
      </c>
    </row>
    <row r="51" spans="1:11" ht="15.75" customHeight="1" x14ac:dyDescent="0.2">
      <c r="A51" s="25" t="s">
        <v>122</v>
      </c>
      <c r="B51" s="10">
        <v>8.0000000000000002E-3</v>
      </c>
      <c r="C51" s="10">
        <v>1.4800000000000001E-2</v>
      </c>
      <c r="D51" s="10">
        <v>8.3000000000000001E-3</v>
      </c>
      <c r="E51" s="10">
        <v>1.2200000000000001E-2</v>
      </c>
      <c r="F51" s="10">
        <v>1.2725</v>
      </c>
      <c r="G51" s="10">
        <v>0.79969999999999997</v>
      </c>
      <c r="H51" s="10">
        <v>1.2039</v>
      </c>
      <c r="I51" s="8" t="s">
        <v>121</v>
      </c>
      <c r="J51" s="8" t="s">
        <v>85</v>
      </c>
      <c r="K51" s="22">
        <v>50000</v>
      </c>
    </row>
    <row r="52" spans="1:11" ht="15.75" customHeight="1" x14ac:dyDescent="0.2">
      <c r="A52" s="25" t="s">
        <v>123</v>
      </c>
      <c r="B52" s="10">
        <v>8.6999999999999994E-3</v>
      </c>
      <c r="C52" s="10">
        <v>1.5699999999999999E-2</v>
      </c>
      <c r="D52" s="10">
        <v>9.1000000000000004E-3</v>
      </c>
      <c r="E52" s="10">
        <v>1.29E-2</v>
      </c>
      <c r="F52" s="10">
        <v>1.3536999999999999</v>
      </c>
      <c r="G52" s="10">
        <v>0.87629999999999997</v>
      </c>
      <c r="H52" s="10">
        <v>1.2750999999999999</v>
      </c>
      <c r="I52" s="8" t="s">
        <v>121</v>
      </c>
      <c r="J52" s="8" t="s">
        <v>85</v>
      </c>
      <c r="K52" s="22">
        <v>5000</v>
      </c>
    </row>
    <row r="53" spans="1:11" ht="15.75" customHeight="1" x14ac:dyDescent="0.2">
      <c r="A53" s="25" t="s">
        <v>124</v>
      </c>
      <c r="B53" s="10">
        <v>2.3999999999999998E-3</v>
      </c>
      <c r="C53" s="10">
        <v>3.7000000000000002E-3</v>
      </c>
      <c r="D53" s="10">
        <v>3.2000000000000002E-3</v>
      </c>
      <c r="E53" s="10">
        <v>3.8999999999999998E-3</v>
      </c>
      <c r="F53" s="10">
        <v>0.31490000000000001</v>
      </c>
      <c r="G53" s="10">
        <v>0.30669999999999997</v>
      </c>
      <c r="H53" s="10">
        <v>0.38279999999999997</v>
      </c>
      <c r="I53" s="8" t="s">
        <v>121</v>
      </c>
      <c r="J53" s="8" t="s">
        <v>78</v>
      </c>
      <c r="K53" s="22">
        <v>10000</v>
      </c>
    </row>
    <row r="54" spans="1:11" ht="15.75" customHeight="1" x14ac:dyDescent="0.2">
      <c r="A54" s="25" t="s">
        <v>56</v>
      </c>
      <c r="B54" s="10">
        <v>6.6E-3</v>
      </c>
      <c r="C54" s="10">
        <v>4.1999999999999997E-3</v>
      </c>
      <c r="D54" s="10">
        <v>4.3E-3</v>
      </c>
      <c r="E54" s="10">
        <v>7.6E-3</v>
      </c>
      <c r="F54" s="10">
        <v>0.3659</v>
      </c>
      <c r="G54" s="10">
        <v>0.41389999999999999</v>
      </c>
      <c r="H54" s="10">
        <v>0.75170000000000003</v>
      </c>
      <c r="I54" s="8" t="s">
        <v>121</v>
      </c>
      <c r="J54" s="8" t="s">
        <v>85</v>
      </c>
      <c r="K54" s="22">
        <v>300000</v>
      </c>
    </row>
    <row r="55" spans="1:11" ht="15.75" customHeight="1" x14ac:dyDescent="0.2">
      <c r="A55" s="25" t="s">
        <v>125</v>
      </c>
      <c r="B55" s="10">
        <v>1.43E-2</v>
      </c>
      <c r="C55" s="10">
        <v>2.5399999999999999E-2</v>
      </c>
      <c r="D55" s="10">
        <v>1.55E-2</v>
      </c>
      <c r="E55" s="10">
        <v>1.78E-2</v>
      </c>
      <c r="F55" s="10">
        <v>2.1919</v>
      </c>
      <c r="G55" s="10">
        <v>1.5005999999999999</v>
      </c>
      <c r="H55" s="10">
        <v>1.752</v>
      </c>
      <c r="I55" s="8" t="s">
        <v>121</v>
      </c>
      <c r="J55" s="8" t="s">
        <v>85</v>
      </c>
      <c r="K55" s="22">
        <v>1000</v>
      </c>
    </row>
    <row r="56" spans="1:11" ht="15.75" customHeight="1" x14ac:dyDescent="0.2">
      <c r="A56" s="25" t="s">
        <v>126</v>
      </c>
      <c r="B56" s="10">
        <v>1.52E-2</v>
      </c>
      <c r="C56" s="10">
        <v>2.81E-2</v>
      </c>
      <c r="D56" s="10">
        <v>1.6500000000000001E-2</v>
      </c>
      <c r="E56" s="10">
        <v>1.7899999999999999E-2</v>
      </c>
      <c r="F56" s="10">
        <v>2.4213</v>
      </c>
      <c r="G56" s="10">
        <v>1.5965</v>
      </c>
      <c r="H56" s="10">
        <v>1.7648999999999999</v>
      </c>
      <c r="I56" s="8" t="s">
        <v>121</v>
      </c>
      <c r="J56" s="8" t="s">
        <v>78</v>
      </c>
      <c r="K56" s="22">
        <v>1000</v>
      </c>
    </row>
    <row r="57" spans="1:11" ht="15.75" customHeight="1" x14ac:dyDescent="0.2">
      <c r="A57" s="25" t="s">
        <v>17</v>
      </c>
      <c r="B57" s="10">
        <v>2.0199999999999999E-2</v>
      </c>
      <c r="C57" s="10">
        <v>4.2700000000000002E-2</v>
      </c>
      <c r="D57" s="10">
        <v>2.0400000000000001E-2</v>
      </c>
      <c r="E57" s="10">
        <v>2.1899999999999999E-2</v>
      </c>
      <c r="F57" s="10">
        <v>3.6850999999999998</v>
      </c>
      <c r="G57" s="10">
        <v>1.9762</v>
      </c>
      <c r="H57" s="10">
        <v>2.1591999999999998</v>
      </c>
      <c r="I57" s="8" t="s">
        <v>121</v>
      </c>
      <c r="J57" s="8" t="s">
        <v>78</v>
      </c>
      <c r="K57" s="22">
        <v>1000</v>
      </c>
    </row>
    <row r="58" spans="1:11" ht="15.75" customHeight="1" x14ac:dyDescent="0.2">
      <c r="A58" s="25" t="s">
        <v>127</v>
      </c>
      <c r="B58" s="10">
        <v>3.8E-3</v>
      </c>
      <c r="C58" s="10">
        <v>1.7999999999999999E-2</v>
      </c>
      <c r="D58" s="10">
        <v>9.1999999999999998E-3</v>
      </c>
      <c r="E58" s="10">
        <v>8.6999999999999994E-3</v>
      </c>
      <c r="F58" s="10">
        <v>1.5549999999999999</v>
      </c>
      <c r="G58" s="10">
        <v>0.8871</v>
      </c>
      <c r="H58" s="10">
        <v>0.85670000000000002</v>
      </c>
      <c r="I58" s="8" t="s">
        <v>121</v>
      </c>
      <c r="J58" s="8" t="s">
        <v>78</v>
      </c>
      <c r="K58" s="22">
        <v>5000</v>
      </c>
    </row>
    <row r="59" spans="1:11" ht="15.75" customHeight="1" x14ac:dyDescent="0.2">
      <c r="A59" s="25" t="s">
        <v>128</v>
      </c>
      <c r="B59" s="10">
        <v>1.6E-2</v>
      </c>
      <c r="C59" s="10">
        <v>1.9699999999999999E-2</v>
      </c>
      <c r="D59" s="10">
        <v>1.3899999999999999E-2</v>
      </c>
      <c r="E59" s="10">
        <v>1.7500000000000002E-2</v>
      </c>
      <c r="F59" s="10">
        <v>1.6952</v>
      </c>
      <c r="G59" s="10">
        <v>1.3486</v>
      </c>
      <c r="H59" s="10">
        <v>1.7281</v>
      </c>
      <c r="I59" s="8" t="s">
        <v>121</v>
      </c>
      <c r="J59" s="8" t="s">
        <v>85</v>
      </c>
      <c r="K59" s="22">
        <v>1000</v>
      </c>
    </row>
    <row r="60" spans="1:11" ht="15.75" customHeight="1" x14ac:dyDescent="0.2">
      <c r="A60" s="25" t="s">
        <v>129</v>
      </c>
      <c r="B60" s="10">
        <v>1.4E-2</v>
      </c>
      <c r="C60" s="10">
        <v>1.01E-2</v>
      </c>
      <c r="D60" s="10">
        <v>1.18E-2</v>
      </c>
      <c r="E60" s="10">
        <v>1.46E-2</v>
      </c>
      <c r="F60" s="10">
        <v>0.87350000000000005</v>
      </c>
      <c r="G60" s="10">
        <v>1.1455</v>
      </c>
      <c r="H60" s="10">
        <v>1.4426000000000001</v>
      </c>
      <c r="I60" s="8" t="s">
        <v>121</v>
      </c>
      <c r="J60" s="8" t="s">
        <v>85</v>
      </c>
      <c r="K60" s="22">
        <v>5000</v>
      </c>
    </row>
    <row r="61" spans="1:11" ht="15.75" customHeight="1" x14ac:dyDescent="0.2">
      <c r="A61" s="25" t="s">
        <v>130</v>
      </c>
      <c r="B61" s="10">
        <v>1.23E-2</v>
      </c>
      <c r="C61" s="10">
        <v>2.4799999999999999E-2</v>
      </c>
      <c r="D61" s="10">
        <v>8.8000000000000005E-3</v>
      </c>
      <c r="E61" s="10">
        <v>1.2699999999999999E-2</v>
      </c>
      <c r="F61" s="10">
        <v>2.1402000000000001</v>
      </c>
      <c r="G61" s="10">
        <v>0.84719999999999995</v>
      </c>
      <c r="H61" s="10">
        <v>1.256</v>
      </c>
      <c r="I61" s="8" t="s">
        <v>121</v>
      </c>
      <c r="J61" s="8" t="s">
        <v>85</v>
      </c>
      <c r="K61" s="22">
        <v>10000</v>
      </c>
    </row>
    <row r="62" spans="1:11" ht="15.75" customHeight="1" x14ac:dyDescent="0.2">
      <c r="A62" s="25" t="s">
        <v>54</v>
      </c>
      <c r="B62" s="10">
        <v>8.9999999999999993E-3</v>
      </c>
      <c r="C62" s="10">
        <v>1.6E-2</v>
      </c>
      <c r="D62" s="10">
        <v>1.04E-2</v>
      </c>
      <c r="E62" s="10">
        <v>1.1299999999999999E-2</v>
      </c>
      <c r="F62" s="10">
        <v>1.3767</v>
      </c>
      <c r="G62" s="10">
        <v>1.0081</v>
      </c>
      <c r="H62" s="10">
        <v>1.1175999999999999</v>
      </c>
      <c r="I62" s="8" t="s">
        <v>121</v>
      </c>
      <c r="J62" s="8" t="s">
        <v>85</v>
      </c>
      <c r="K62" s="22">
        <v>50000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BO111"/>
  <sheetViews>
    <sheetView topLeftCell="BE1" zoomScale="107" zoomScaleNormal="100" workbookViewId="0">
      <selection activeCell="BO2" sqref="A2:BO44"/>
    </sheetView>
  </sheetViews>
  <sheetFormatPr baseColWidth="10" defaultColWidth="10.5" defaultRowHeight="15.75" customHeight="1" x14ac:dyDescent="0.2"/>
  <cols>
    <col min="1" max="1" width="30.33203125" bestFit="1" customWidth="1"/>
    <col min="10" max="10" width="16.6640625" customWidth="1"/>
    <col min="12" max="12" width="18.5" customWidth="1"/>
    <col min="13" max="13" width="30.33203125" bestFit="1" customWidth="1"/>
    <col min="63" max="66" width="10.5" style="38"/>
  </cols>
  <sheetData>
    <row r="1" spans="1:67" ht="15" customHeight="1" x14ac:dyDescent="0.2">
      <c r="A1" s="8"/>
      <c r="B1" s="26" t="s">
        <v>66</v>
      </c>
      <c r="C1" s="44" t="s">
        <v>131</v>
      </c>
      <c r="D1" s="44"/>
      <c r="E1" s="44"/>
      <c r="F1" s="44"/>
      <c r="G1" s="44"/>
      <c r="H1" s="45" t="s">
        <v>132</v>
      </c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6" t="s">
        <v>133</v>
      </c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7" t="s">
        <v>134</v>
      </c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K1" s="8"/>
      <c r="BL1" s="38" t="s">
        <v>135</v>
      </c>
      <c r="BO1" s="38"/>
    </row>
    <row r="2" spans="1:67" ht="48" customHeight="1" x14ac:dyDescent="0.2">
      <c r="A2" s="8" t="s">
        <v>136</v>
      </c>
      <c r="B2" s="20" t="s">
        <v>66</v>
      </c>
      <c r="C2" s="21" t="s">
        <v>40</v>
      </c>
      <c r="D2" s="21" t="s">
        <v>80</v>
      </c>
      <c r="E2" s="21" t="s">
        <v>81</v>
      </c>
      <c r="F2" s="21" t="s">
        <v>82</v>
      </c>
      <c r="G2" s="21" t="s">
        <v>83</v>
      </c>
      <c r="H2" s="27" t="s">
        <v>24</v>
      </c>
      <c r="I2" s="27" t="s">
        <v>25</v>
      </c>
      <c r="J2" s="27" t="s">
        <v>137</v>
      </c>
      <c r="K2" s="27" t="s">
        <v>138</v>
      </c>
      <c r="L2" s="27" t="s">
        <v>139</v>
      </c>
      <c r="M2" s="27" t="s">
        <v>140</v>
      </c>
      <c r="N2" s="27" t="s">
        <v>141</v>
      </c>
      <c r="O2" s="27" t="s">
        <v>27</v>
      </c>
      <c r="P2" s="27" t="s">
        <v>142</v>
      </c>
      <c r="Q2" s="27" t="s">
        <v>143</v>
      </c>
      <c r="R2" s="27" t="s">
        <v>144</v>
      </c>
      <c r="S2" s="27" t="s">
        <v>145</v>
      </c>
      <c r="T2" s="27" t="s">
        <v>146</v>
      </c>
      <c r="U2" s="27" t="s">
        <v>147</v>
      </c>
      <c r="V2" s="27" t="s">
        <v>28</v>
      </c>
      <c r="W2" s="27" t="s">
        <v>148</v>
      </c>
      <c r="X2" s="27" t="s">
        <v>149</v>
      </c>
      <c r="Y2" s="27" t="s">
        <v>150</v>
      </c>
      <c r="Z2" s="28" t="s">
        <v>151</v>
      </c>
      <c r="AA2" s="28" t="s">
        <v>59</v>
      </c>
      <c r="AB2" s="28" t="s">
        <v>152</v>
      </c>
      <c r="AC2" s="28" t="s">
        <v>153</v>
      </c>
      <c r="AD2" s="28" t="s">
        <v>154</v>
      </c>
      <c r="AE2" s="28" t="s">
        <v>155</v>
      </c>
      <c r="AF2" s="28" t="s">
        <v>156</v>
      </c>
      <c r="AG2" s="28" t="s">
        <v>157</v>
      </c>
      <c r="AH2" s="28" t="s">
        <v>158</v>
      </c>
      <c r="AI2" s="28" t="s">
        <v>159</v>
      </c>
      <c r="AJ2" s="28" t="s">
        <v>160</v>
      </c>
      <c r="AK2" s="28" t="s">
        <v>161</v>
      </c>
      <c r="AL2" s="28" t="s">
        <v>61</v>
      </c>
      <c r="AM2" s="28" t="s">
        <v>162</v>
      </c>
      <c r="AN2" s="28" t="s">
        <v>163</v>
      </c>
      <c r="AO2" s="28" t="s">
        <v>164</v>
      </c>
      <c r="AP2" s="28" t="s">
        <v>165</v>
      </c>
      <c r="AQ2" s="28" t="s">
        <v>166</v>
      </c>
      <c r="AR2" s="28" t="s">
        <v>167</v>
      </c>
      <c r="AS2" s="28" t="s">
        <v>168</v>
      </c>
      <c r="AT2" s="28" t="s">
        <v>30</v>
      </c>
      <c r="AU2" s="28" t="s">
        <v>169</v>
      </c>
      <c r="AV2" s="28" t="s">
        <v>170</v>
      </c>
      <c r="AW2" s="29" t="s">
        <v>171</v>
      </c>
      <c r="AX2" s="29" t="s">
        <v>172</v>
      </c>
      <c r="AY2" s="29" t="s">
        <v>173</v>
      </c>
      <c r="AZ2" s="29" t="s">
        <v>174</v>
      </c>
      <c r="BA2" s="29" t="s">
        <v>175</v>
      </c>
      <c r="BB2" s="29" t="s">
        <v>176</v>
      </c>
      <c r="BC2" s="29" t="s">
        <v>32</v>
      </c>
      <c r="BD2" s="29" t="s">
        <v>177</v>
      </c>
      <c r="BE2" s="29" t="s">
        <v>178</v>
      </c>
      <c r="BF2" s="29" t="s">
        <v>179</v>
      </c>
      <c r="BG2" s="29" t="s">
        <v>180</v>
      </c>
      <c r="BH2" s="29" t="s">
        <v>181</v>
      </c>
      <c r="BI2" s="29" t="s">
        <v>182</v>
      </c>
      <c r="BJ2" s="29" t="s">
        <v>200</v>
      </c>
      <c r="BK2" s="39" t="s">
        <v>190</v>
      </c>
      <c r="BL2" s="39" t="s">
        <v>189</v>
      </c>
      <c r="BM2" s="39" t="s">
        <v>188</v>
      </c>
      <c r="BN2" s="40" t="s">
        <v>187</v>
      </c>
      <c r="BO2" s="39" t="s">
        <v>194</v>
      </c>
    </row>
    <row r="3" spans="1:67" ht="15" customHeight="1" x14ac:dyDescent="0.2">
      <c r="A3" s="8">
        <v>1</v>
      </c>
      <c r="B3" s="30">
        <v>44927</v>
      </c>
      <c r="C3" s="31">
        <v>1.12E-2</v>
      </c>
      <c r="D3" s="31">
        <v>5.3E-3</v>
      </c>
      <c r="E3" s="31">
        <v>1.12E-2</v>
      </c>
      <c r="F3" s="31">
        <v>3.3700000000000001E-2</v>
      </c>
      <c r="G3" s="31">
        <v>-2.2700000000000001E-2</v>
      </c>
      <c r="H3" s="31">
        <v>1.12E-2</v>
      </c>
      <c r="I3" s="32">
        <v>1.12E-2</v>
      </c>
      <c r="J3" s="31">
        <v>1.06E-2</v>
      </c>
      <c r="K3" s="31">
        <v>3.3999999999999998E-3</v>
      </c>
      <c r="L3" s="31">
        <v>9.9000000000000008E-3</v>
      </c>
      <c r="M3" s="31">
        <v>-4.7000000000000002E-3</v>
      </c>
      <c r="N3" s="31">
        <v>1.11E-2</v>
      </c>
      <c r="O3" s="31">
        <v>1.0999999999999999E-2</v>
      </c>
      <c r="P3" s="31">
        <v>9.1000000000000004E-3</v>
      </c>
      <c r="Q3" s="31">
        <v>-1.17E-2</v>
      </c>
      <c r="R3" s="31">
        <v>-1.5599999999999999E-2</v>
      </c>
      <c r="S3" s="31">
        <v>0</v>
      </c>
      <c r="T3" s="31">
        <v>-5.8999999999999999E-3</v>
      </c>
      <c r="U3" s="31">
        <v>1.2200000000000001E-2</v>
      </c>
      <c r="V3" s="31">
        <v>6.4999999999999997E-3</v>
      </c>
      <c r="W3" s="31">
        <v>2.1299999999999999E-2</v>
      </c>
      <c r="X3" s="31">
        <v>1E-4</v>
      </c>
      <c r="Y3" s="31">
        <v>1.04E-2</v>
      </c>
      <c r="Z3" s="31">
        <v>1.11E-2</v>
      </c>
      <c r="AA3" s="31">
        <v>4.5999999999999999E-3</v>
      </c>
      <c r="AB3" s="32">
        <v>1.12E-2</v>
      </c>
      <c r="AC3" s="32">
        <v>1.12E-2</v>
      </c>
      <c r="AD3" s="31">
        <v>8.3000000000000001E-3</v>
      </c>
      <c r="AE3" s="31">
        <v>4.2500000000000003E-2</v>
      </c>
      <c r="AF3" s="31">
        <v>2.0500000000000001E-2</v>
      </c>
      <c r="AG3" s="31">
        <v>2.52E-2</v>
      </c>
      <c r="AH3" s="31">
        <v>1.5900000000000001E-2</v>
      </c>
      <c r="AI3" s="31">
        <v>1.8700000000000001E-2</v>
      </c>
      <c r="AJ3" s="31">
        <v>2.4899999999999999E-2</v>
      </c>
      <c r="AK3" s="31">
        <v>-1.4E-3</v>
      </c>
      <c r="AL3" s="31">
        <v>1.12E-2</v>
      </c>
      <c r="AM3" s="31">
        <v>1.5E-3</v>
      </c>
      <c r="AN3" s="31">
        <v>2.0500000000000001E-2</v>
      </c>
      <c r="AO3" s="31">
        <v>2.58E-2</v>
      </c>
      <c r="AP3" s="32">
        <v>1.12E-2</v>
      </c>
      <c r="AQ3" s="31">
        <v>2.6499999999999999E-2</v>
      </c>
      <c r="AR3" s="31">
        <v>2.4799999999999999E-2</v>
      </c>
      <c r="AS3" s="31">
        <v>1.5699999999999999E-2</v>
      </c>
      <c r="AT3" s="31">
        <v>2.3199999999999998E-2</v>
      </c>
      <c r="AU3" s="31">
        <v>7.2599999999999998E-2</v>
      </c>
      <c r="AV3" s="31">
        <v>2.0500000000000001E-2</v>
      </c>
      <c r="AW3" s="31">
        <v>7.1400000000000005E-2</v>
      </c>
      <c r="AX3" s="31">
        <v>2.1899999999999999E-2</v>
      </c>
      <c r="AY3" s="31">
        <v>2.24E-2</v>
      </c>
      <c r="AZ3" s="31">
        <v>1.9800000000000002E-2</v>
      </c>
      <c r="BA3" s="31">
        <v>4.6600000000000003E-2</v>
      </c>
      <c r="BB3" s="31">
        <v>5.3100000000000001E-2</v>
      </c>
      <c r="BC3" s="31">
        <v>7.2999999999999995E-2</v>
      </c>
      <c r="BD3" s="31">
        <v>4.07E-2</v>
      </c>
      <c r="BE3" s="31">
        <v>2.4199999999999999E-2</v>
      </c>
      <c r="BF3" s="31">
        <v>4.9200000000000001E-2</v>
      </c>
      <c r="BG3" s="31">
        <v>0.1011</v>
      </c>
      <c r="BH3" s="31">
        <v>3.2800000000000003E-2</v>
      </c>
      <c r="BI3" s="31">
        <v>2.3800000000000002E-2</v>
      </c>
      <c r="BJ3" s="9">
        <v>5.8500000000000003E-2</v>
      </c>
      <c r="BK3" s="31">
        <v>1.4200000000000001E-2</v>
      </c>
      <c r="BL3" s="31">
        <v>6.2E-2</v>
      </c>
      <c r="BM3" s="31">
        <v>2.81E-2</v>
      </c>
      <c r="BN3" s="31">
        <v>1.12E-2</v>
      </c>
      <c r="BO3" s="9">
        <v>5.3800000000000001E-2</v>
      </c>
    </row>
    <row r="4" spans="1:67" ht="15" customHeight="1" x14ac:dyDescent="0.2">
      <c r="A4" s="8">
        <v>2</v>
      </c>
      <c r="B4" s="30">
        <v>44958</v>
      </c>
      <c r="C4" s="33">
        <v>9.1999999999999998E-3</v>
      </c>
      <c r="D4" s="33">
        <v>8.3999999999999995E-3</v>
      </c>
      <c r="E4" s="33">
        <v>9.1999999999999998E-3</v>
      </c>
      <c r="F4" s="33">
        <v>-7.4899999999999994E-2</v>
      </c>
      <c r="G4" s="33">
        <v>2.1299999999999999E-2</v>
      </c>
      <c r="H4" s="33">
        <v>9.1999999999999998E-3</v>
      </c>
      <c r="I4" s="32">
        <v>9.1999999999999998E-3</v>
      </c>
      <c r="J4" s="33">
        <v>1.01E-2</v>
      </c>
      <c r="K4" s="33">
        <v>-1.06E-2</v>
      </c>
      <c r="L4" s="33">
        <v>-3.0000000000000001E-3</v>
      </c>
      <c r="M4" s="33">
        <v>3.8E-3</v>
      </c>
      <c r="N4" s="33">
        <v>6.1000000000000004E-3</v>
      </c>
      <c r="O4" s="33">
        <v>8.3000000000000001E-3</v>
      </c>
      <c r="P4" s="33">
        <v>9.9000000000000008E-3</v>
      </c>
      <c r="Q4" s="33">
        <v>3.7000000000000002E-3</v>
      </c>
      <c r="R4" s="33">
        <v>3.5999999999999999E-3</v>
      </c>
      <c r="S4" s="33">
        <v>-1E-4</v>
      </c>
      <c r="T4" s="33">
        <v>1.5E-3</v>
      </c>
      <c r="U4" s="33">
        <v>1.2200000000000001E-2</v>
      </c>
      <c r="V4" s="33">
        <v>3.8999999999999998E-3</v>
      </c>
      <c r="W4" s="33">
        <v>-9.4000000000000004E-3</v>
      </c>
      <c r="X4" s="33">
        <v>2.18E-2</v>
      </c>
      <c r="Y4" s="33">
        <v>1.04E-2</v>
      </c>
      <c r="Z4" s="33">
        <v>9.1000000000000004E-3</v>
      </c>
      <c r="AA4" s="33">
        <v>-7.9000000000000008E-3</v>
      </c>
      <c r="AB4" s="32">
        <v>9.1999999999999998E-3</v>
      </c>
      <c r="AC4" s="32">
        <v>9.1999999999999998E-3</v>
      </c>
      <c r="AD4" s="33">
        <v>8.3999999999999995E-3</v>
      </c>
      <c r="AE4" s="33">
        <v>2.1399999999999999E-2</v>
      </c>
      <c r="AF4" s="33">
        <v>1.1299999999999999E-2</v>
      </c>
      <c r="AG4" s="33">
        <v>1.29E-2</v>
      </c>
      <c r="AH4" s="33">
        <v>-1.41E-2</v>
      </c>
      <c r="AI4" s="33">
        <v>-5.9999999999999995E-4</v>
      </c>
      <c r="AJ4" s="33">
        <v>-8.2000000000000007E-3</v>
      </c>
      <c r="AK4" s="33">
        <v>2.2800000000000001E-2</v>
      </c>
      <c r="AL4" s="33">
        <v>6.1999999999999998E-3</v>
      </c>
      <c r="AM4" s="33">
        <v>1.8800000000000001E-2</v>
      </c>
      <c r="AN4" s="33">
        <v>4.1000000000000003E-3</v>
      </c>
      <c r="AO4" s="33">
        <v>2.9999999999999997E-4</v>
      </c>
      <c r="AP4" s="32">
        <v>9.1999999999999998E-3</v>
      </c>
      <c r="AQ4" s="33">
        <v>2.9999999999999997E-4</v>
      </c>
      <c r="AR4" s="33">
        <v>-7.3499999999999996E-2</v>
      </c>
      <c r="AS4" s="33">
        <v>-1.9300000000000001E-2</v>
      </c>
      <c r="AT4" s="33">
        <v>-2.3599999999999999E-2</v>
      </c>
      <c r="AU4" s="33">
        <v>-6.2199999999999998E-2</v>
      </c>
      <c r="AV4" s="33">
        <v>-9.6299999999999997E-2</v>
      </c>
      <c r="AW4" s="33">
        <v>-5.1799999999999999E-2</v>
      </c>
      <c r="AX4" s="33">
        <v>-8.8300000000000003E-2</v>
      </c>
      <c r="AY4" s="33">
        <v>-8.7900000000000006E-2</v>
      </c>
      <c r="AZ4" s="33">
        <v>-4.6800000000000001E-2</v>
      </c>
      <c r="BA4" s="33">
        <v>-4.7899999999999998E-2</v>
      </c>
      <c r="BB4" s="33">
        <v>-4.1599999999999998E-2</v>
      </c>
      <c r="BC4" s="33">
        <v>1.5699999999999999E-2</v>
      </c>
      <c r="BD4" s="33">
        <v>-0.10829999999999999</v>
      </c>
      <c r="BE4" s="33">
        <v>-4.3799999999999999E-2</v>
      </c>
      <c r="BF4" s="33">
        <v>-5.2900000000000003E-2</v>
      </c>
      <c r="BG4" s="33">
        <v>-0.1222</v>
      </c>
      <c r="BH4" s="33">
        <v>-6.6299999999999998E-2</v>
      </c>
      <c r="BI4" s="33">
        <v>-2.3699999999999999E-2</v>
      </c>
      <c r="BJ4" s="9">
        <v>-2.0500000000000001E-2</v>
      </c>
      <c r="BK4" s="31">
        <v>4.7999999999999996E-3</v>
      </c>
      <c r="BL4" s="31">
        <v>2.69E-2</v>
      </c>
      <c r="BM4" s="31">
        <v>0</v>
      </c>
      <c r="BN4" s="31">
        <v>9.1999999999999998E-3</v>
      </c>
      <c r="BO4" s="9">
        <v>-7.51E-2</v>
      </c>
    </row>
    <row r="5" spans="1:67" ht="15" customHeight="1" x14ac:dyDescent="0.2">
      <c r="A5" s="8">
        <v>3</v>
      </c>
      <c r="B5" s="30">
        <v>44986</v>
      </c>
      <c r="C5" s="31">
        <v>1.17E-2</v>
      </c>
      <c r="D5" s="31">
        <v>7.1000000000000004E-3</v>
      </c>
      <c r="E5" s="31">
        <v>1.17E-2</v>
      </c>
      <c r="F5" s="31">
        <v>-2.9100000000000001E-2</v>
      </c>
      <c r="G5" s="31">
        <v>-2.4500000000000001E-2</v>
      </c>
      <c r="H5" s="31">
        <v>1.17E-2</v>
      </c>
      <c r="I5" s="32">
        <v>1.17E-2</v>
      </c>
      <c r="J5" s="31">
        <v>1.3599999999999999E-2</v>
      </c>
      <c r="K5" s="31">
        <v>1.24E-2</v>
      </c>
      <c r="L5" s="31">
        <v>5.0000000000000001E-3</v>
      </c>
      <c r="M5" s="31">
        <v>8.8999999999999999E-3</v>
      </c>
      <c r="N5" s="31">
        <v>1.14E-2</v>
      </c>
      <c r="O5" s="31">
        <v>1.1900000000000001E-2</v>
      </c>
      <c r="P5" s="31">
        <v>1.46E-2</v>
      </c>
      <c r="Q5" s="31">
        <v>1.0999999999999999E-2</v>
      </c>
      <c r="R5" s="31">
        <v>0.01</v>
      </c>
      <c r="S5" s="31">
        <v>6.3E-3</v>
      </c>
      <c r="T5" s="31">
        <v>6.8999999999999999E-3</v>
      </c>
      <c r="U5" s="31">
        <v>1.2200000000000001E-2</v>
      </c>
      <c r="V5" s="31">
        <v>5.7000000000000002E-3</v>
      </c>
      <c r="W5" s="31">
        <v>1E-3</v>
      </c>
      <c r="X5" s="31">
        <v>1.6400000000000001E-2</v>
      </c>
      <c r="Y5" s="31">
        <v>1.04E-2</v>
      </c>
      <c r="Z5" s="31">
        <v>1.1599999999999999E-2</v>
      </c>
      <c r="AA5" s="31">
        <v>8.8000000000000005E-3</v>
      </c>
      <c r="AB5" s="32">
        <v>1.17E-2</v>
      </c>
      <c r="AC5" s="32">
        <v>1.17E-2</v>
      </c>
      <c r="AD5" s="31">
        <v>2.0899999999999998E-2</v>
      </c>
      <c r="AE5" s="31">
        <v>2.23E-2</v>
      </c>
      <c r="AF5" s="31">
        <v>-1.9E-3</v>
      </c>
      <c r="AG5" s="31">
        <v>-7.0000000000000001E-3</v>
      </c>
      <c r="AH5" s="31">
        <v>-1.29E-2</v>
      </c>
      <c r="AI5" s="31">
        <v>1.14E-2</v>
      </c>
      <c r="AJ5" s="31">
        <v>1.14E-2</v>
      </c>
      <c r="AK5" s="31">
        <v>-9.4999999999999998E-3</v>
      </c>
      <c r="AL5" s="31">
        <v>1.15E-2</v>
      </c>
      <c r="AM5" s="31">
        <v>-4.1000000000000002E-2</v>
      </c>
      <c r="AN5" s="31">
        <v>-6.7000000000000002E-3</v>
      </c>
      <c r="AO5" s="31">
        <v>-2.3300000000000001E-2</v>
      </c>
      <c r="AP5" s="32">
        <v>1.17E-2</v>
      </c>
      <c r="AQ5" s="31">
        <v>-4.4000000000000003E-3</v>
      </c>
      <c r="AR5" s="31">
        <v>-6.3500000000000001E-2</v>
      </c>
      <c r="AS5" s="31">
        <v>-1.4500000000000001E-2</v>
      </c>
      <c r="AT5" s="31">
        <v>-1.11E-2</v>
      </c>
      <c r="AU5" s="31">
        <v>-1.4999999999999999E-2</v>
      </c>
      <c r="AV5" s="31">
        <v>-4.5600000000000002E-2</v>
      </c>
      <c r="AW5" s="31">
        <v>-2.7E-2</v>
      </c>
      <c r="AX5" s="31">
        <v>-6.5000000000000002E-2</v>
      </c>
      <c r="AY5" s="31">
        <v>-6.4399999999999999E-2</v>
      </c>
      <c r="AZ5" s="31">
        <v>-2.3900000000000001E-2</v>
      </c>
      <c r="BA5" s="31">
        <v>-6.1899999999999997E-2</v>
      </c>
      <c r="BB5" s="31">
        <v>-3.2300000000000002E-2</v>
      </c>
      <c r="BC5" s="31">
        <v>-3.4700000000000002E-2</v>
      </c>
      <c r="BD5" s="31">
        <v>-6.6199999999999995E-2</v>
      </c>
      <c r="BE5" s="31">
        <v>-2.4199999999999999E-2</v>
      </c>
      <c r="BF5" s="31">
        <v>3.7000000000000002E-3</v>
      </c>
      <c r="BG5" s="31">
        <v>-5.1999999999999998E-3</v>
      </c>
      <c r="BH5" s="31">
        <v>-5.28E-2</v>
      </c>
      <c r="BI5" s="31">
        <v>-1.24E-2</v>
      </c>
      <c r="BJ5" s="9">
        <v>1.66E-2</v>
      </c>
      <c r="BK5" s="31">
        <v>2E-3</v>
      </c>
      <c r="BL5" s="31">
        <v>6.0299999999999999E-2</v>
      </c>
      <c r="BM5" s="31">
        <v>-8.8000000000000005E-3</v>
      </c>
      <c r="BN5" s="31">
        <v>1.17E-2</v>
      </c>
      <c r="BO5" s="9">
        <v>-1.6799999999999999E-2</v>
      </c>
    </row>
    <row r="6" spans="1:67" ht="15" customHeight="1" x14ac:dyDescent="0.2">
      <c r="A6" s="8">
        <v>4</v>
      </c>
      <c r="B6" s="30">
        <v>45017</v>
      </c>
      <c r="C6" s="32">
        <v>9.1999999999999998E-3</v>
      </c>
      <c r="D6" s="32">
        <v>6.1000000000000004E-3</v>
      </c>
      <c r="E6" s="32">
        <v>9.1999999999999998E-3</v>
      </c>
      <c r="F6" s="32">
        <v>2.5000000000000001E-2</v>
      </c>
      <c r="G6" s="32">
        <v>-1.5699999999999999E-2</v>
      </c>
      <c r="H6" s="32">
        <v>9.1999999999999998E-3</v>
      </c>
      <c r="I6" s="32">
        <v>9.1999999999999998E-3</v>
      </c>
      <c r="J6" s="32">
        <v>1.06E-2</v>
      </c>
      <c r="K6" s="32">
        <v>8.2000000000000007E-3</v>
      </c>
      <c r="L6" s="32">
        <v>9.9000000000000008E-3</v>
      </c>
      <c r="M6" s="32">
        <v>8.0000000000000002E-3</v>
      </c>
      <c r="N6" s="32">
        <v>0.01</v>
      </c>
      <c r="O6" s="32">
        <v>8.6E-3</v>
      </c>
      <c r="P6" s="32">
        <v>1.1299999999999999E-2</v>
      </c>
      <c r="Q6" s="32">
        <v>9.4999999999999998E-3</v>
      </c>
      <c r="R6" s="32">
        <v>1.04E-2</v>
      </c>
      <c r="S6" s="32">
        <v>7.0000000000000001E-3</v>
      </c>
      <c r="T6" s="32">
        <v>0.01</v>
      </c>
      <c r="U6" s="32">
        <v>1.2200000000000001E-2</v>
      </c>
      <c r="V6" s="32">
        <v>9.9000000000000008E-3</v>
      </c>
      <c r="W6" s="32">
        <v>1.2E-2</v>
      </c>
      <c r="X6" s="32">
        <v>8.5000000000000006E-3</v>
      </c>
      <c r="Y6" s="32">
        <v>1.04E-2</v>
      </c>
      <c r="Z6" s="32">
        <v>8.8999999999999999E-3</v>
      </c>
      <c r="AA6" s="32">
        <v>4.3E-3</v>
      </c>
      <c r="AB6" s="32">
        <v>9.1999999999999998E-3</v>
      </c>
      <c r="AC6" s="32">
        <v>9.1999999999999998E-3</v>
      </c>
      <c r="AD6" s="32">
        <v>1.0699999999999999E-2</v>
      </c>
      <c r="AE6" s="32">
        <v>1.21E-2</v>
      </c>
      <c r="AF6" s="32">
        <v>2.2000000000000001E-3</v>
      </c>
      <c r="AG6" s="32">
        <v>-5.9999999999999995E-4</v>
      </c>
      <c r="AH6" s="32">
        <v>1.43E-2</v>
      </c>
      <c r="AI6" s="32">
        <v>2.3E-3</v>
      </c>
      <c r="AJ6" s="32">
        <v>-2.8E-3</v>
      </c>
      <c r="AK6" s="32">
        <v>8.3999999999999995E-3</v>
      </c>
      <c r="AL6" s="32">
        <v>0.01</v>
      </c>
      <c r="AM6" s="32">
        <v>1.1299999999999999E-2</v>
      </c>
      <c r="AN6" s="32">
        <v>4.4999999999999997E-3</v>
      </c>
      <c r="AO6" s="32">
        <v>4.0000000000000002E-4</v>
      </c>
      <c r="AP6" s="32">
        <v>9.1999999999999998E-3</v>
      </c>
      <c r="AQ6" s="32">
        <v>-6.9999999999999999E-4</v>
      </c>
      <c r="AR6" s="32">
        <v>-1.1599999999999999E-2</v>
      </c>
      <c r="AS6" s="32">
        <v>5.9999999999999995E-4</v>
      </c>
      <c r="AT6" s="32">
        <v>2.1299999999999999E-2</v>
      </c>
      <c r="AU6" s="32">
        <v>3.9699999999999999E-2</v>
      </c>
      <c r="AV6" s="32">
        <v>3.0300000000000001E-2</v>
      </c>
      <c r="AW6" s="32">
        <v>2.87E-2</v>
      </c>
      <c r="AX6" s="32">
        <v>1.01E-2</v>
      </c>
      <c r="AY6" s="32">
        <v>1.0699999999999999E-2</v>
      </c>
      <c r="AZ6" s="32">
        <v>4.24E-2</v>
      </c>
      <c r="BA6" s="32">
        <v>-3.8E-3</v>
      </c>
      <c r="BB6" s="32">
        <v>-1.3599999999999999E-2</v>
      </c>
      <c r="BC6" s="32">
        <v>-3.5299999999999998E-2</v>
      </c>
      <c r="BD6" s="32">
        <v>-2.7400000000000001E-2</v>
      </c>
      <c r="BE6" s="32">
        <v>5.28E-2</v>
      </c>
      <c r="BF6" s="32">
        <v>3.3599999999999998E-2</v>
      </c>
      <c r="BG6" s="32">
        <v>6.08E-2</v>
      </c>
      <c r="BH6" s="32">
        <v>3.7400000000000003E-2</v>
      </c>
      <c r="BI6" s="32">
        <v>2.8799999999999999E-2</v>
      </c>
      <c r="BJ6" s="9">
        <v>2.01E-2</v>
      </c>
      <c r="BK6" s="31">
        <v>0</v>
      </c>
      <c r="BL6" s="31">
        <v>-1.0699999999999999E-2</v>
      </c>
      <c r="BM6" s="31">
        <v>-1.1000000000000001E-3</v>
      </c>
      <c r="BN6" s="31">
        <v>9.1999999999999998E-3</v>
      </c>
      <c r="BO6" s="9">
        <v>3.5999999999999997E-2</v>
      </c>
    </row>
    <row r="7" spans="1:67" ht="15" customHeight="1" x14ac:dyDescent="0.2">
      <c r="A7" s="8">
        <v>5</v>
      </c>
      <c r="B7" s="30">
        <v>45047</v>
      </c>
      <c r="C7" s="31">
        <v>1.12E-2</v>
      </c>
      <c r="D7" s="31">
        <v>2.3E-3</v>
      </c>
      <c r="E7" s="31">
        <v>1.12E-2</v>
      </c>
      <c r="F7" s="31">
        <v>3.7400000000000003E-2</v>
      </c>
      <c r="G7" s="31">
        <v>1.9E-2</v>
      </c>
      <c r="H7" s="31">
        <v>1.12E-2</v>
      </c>
      <c r="I7" s="32">
        <v>1.12E-2</v>
      </c>
      <c r="J7" s="31">
        <v>1.35E-2</v>
      </c>
      <c r="K7" s="31">
        <v>2.8799999999999999E-2</v>
      </c>
      <c r="L7" s="31">
        <v>1.43E-2</v>
      </c>
      <c r="M7" s="31">
        <v>1.18E-2</v>
      </c>
      <c r="N7" s="31">
        <v>1.4200000000000001E-2</v>
      </c>
      <c r="O7" s="31">
        <v>1.26E-2</v>
      </c>
      <c r="P7" s="31">
        <v>1.4800000000000001E-2</v>
      </c>
      <c r="Q7" s="31">
        <v>1.4500000000000001E-2</v>
      </c>
      <c r="R7" s="31">
        <v>1.37E-2</v>
      </c>
      <c r="S7" s="31">
        <v>1.26E-2</v>
      </c>
      <c r="T7" s="31">
        <v>1.9800000000000002E-2</v>
      </c>
      <c r="U7" s="31">
        <v>1.2200000000000001E-2</v>
      </c>
      <c r="V7" s="31">
        <v>8.3000000000000001E-3</v>
      </c>
      <c r="W7" s="31">
        <v>5.7000000000000002E-3</v>
      </c>
      <c r="X7" s="31">
        <v>1.9E-2</v>
      </c>
      <c r="Y7" s="31">
        <v>1.04E-2</v>
      </c>
      <c r="Z7" s="31">
        <v>1.12E-2</v>
      </c>
      <c r="AA7" s="31">
        <v>2.93E-2</v>
      </c>
      <c r="AB7" s="32">
        <v>1.12E-2</v>
      </c>
      <c r="AC7" s="32">
        <v>1.12E-2</v>
      </c>
      <c r="AD7" s="31">
        <v>2.1399999999999999E-2</v>
      </c>
      <c r="AE7" s="31">
        <v>1.7299999999999999E-2</v>
      </c>
      <c r="AF7" s="31">
        <v>0.01</v>
      </c>
      <c r="AG7" s="31">
        <v>0.01</v>
      </c>
      <c r="AH7" s="31">
        <v>2.7000000000000001E-3</v>
      </c>
      <c r="AI7" s="31">
        <v>-1.1999999999999999E-3</v>
      </c>
      <c r="AJ7" s="31">
        <v>-1.04E-2</v>
      </c>
      <c r="AK7" s="31">
        <v>2.06E-2</v>
      </c>
      <c r="AL7" s="31">
        <v>1.4200000000000001E-2</v>
      </c>
      <c r="AM7" s="31">
        <v>-5.0000000000000001E-4</v>
      </c>
      <c r="AN7" s="31">
        <v>-7.7999999999999996E-3</v>
      </c>
      <c r="AO7" s="31">
        <v>-2.6800000000000001E-2</v>
      </c>
      <c r="AP7" s="32">
        <v>1.12E-2</v>
      </c>
      <c r="AQ7" s="31">
        <v>8.5000000000000006E-3</v>
      </c>
      <c r="AR7" s="31">
        <v>1.55E-2</v>
      </c>
      <c r="AS7" s="31">
        <v>1.29E-2</v>
      </c>
      <c r="AT7" s="31">
        <v>1.9E-2</v>
      </c>
      <c r="AU7" s="31">
        <v>5.7799999999999997E-2</v>
      </c>
      <c r="AV7" s="31">
        <v>0.1</v>
      </c>
      <c r="AW7" s="31">
        <v>9.11E-2</v>
      </c>
      <c r="AX7" s="31">
        <v>0.11749999999999999</v>
      </c>
      <c r="AY7" s="31">
        <v>0.1186</v>
      </c>
      <c r="AZ7" s="31">
        <v>8.3799999999999999E-2</v>
      </c>
      <c r="BA7" s="31">
        <v>0.12</v>
      </c>
      <c r="BB7" s="31">
        <v>8.2500000000000004E-2</v>
      </c>
      <c r="BC7" s="31">
        <v>7.8399999999999997E-2</v>
      </c>
      <c r="BD7" s="31">
        <v>5.8700000000000002E-2</v>
      </c>
      <c r="BE7" s="31">
        <v>8.9200000000000002E-2</v>
      </c>
      <c r="BF7" s="31">
        <v>2.8500000000000001E-2</v>
      </c>
      <c r="BG7" s="31">
        <v>0.1148</v>
      </c>
      <c r="BH7" s="31">
        <v>0.1106</v>
      </c>
      <c r="BI7" s="31">
        <v>3.5000000000000003E-2</v>
      </c>
      <c r="BJ7" s="9">
        <v>-1.9E-3</v>
      </c>
      <c r="BK7" s="31">
        <v>1.52E-2</v>
      </c>
      <c r="BL7" s="31">
        <v>9.4399999999999998E-2</v>
      </c>
      <c r="BM7" s="31">
        <v>5.4000000000000003E-3</v>
      </c>
      <c r="BN7" s="31">
        <v>1.12E-2</v>
      </c>
      <c r="BO7" s="9">
        <v>1.47E-2</v>
      </c>
    </row>
    <row r="8" spans="1:67" ht="15" customHeight="1" x14ac:dyDescent="0.2">
      <c r="A8" s="8">
        <v>6</v>
      </c>
      <c r="B8" s="30">
        <v>45078</v>
      </c>
      <c r="C8" s="33">
        <v>1.0699999999999999E-2</v>
      </c>
      <c r="D8" s="33">
        <v>-8.0000000000000004E-4</v>
      </c>
      <c r="E8" s="33">
        <v>1.0699999999999999E-2</v>
      </c>
      <c r="F8" s="33">
        <v>0.09</v>
      </c>
      <c r="G8" s="33">
        <v>-5.4300000000000001E-2</v>
      </c>
      <c r="H8" s="33">
        <v>1.0699999999999999E-2</v>
      </c>
      <c r="I8" s="32">
        <v>1.0699999999999999E-2</v>
      </c>
      <c r="J8" s="33">
        <v>1.29E-2</v>
      </c>
      <c r="K8" s="33">
        <v>2.41E-2</v>
      </c>
      <c r="L8" s="33">
        <v>1.29E-2</v>
      </c>
      <c r="M8" s="33">
        <v>1.3899999999999999E-2</v>
      </c>
      <c r="N8" s="33">
        <v>1.24E-2</v>
      </c>
      <c r="O8" s="33">
        <v>1.24E-2</v>
      </c>
      <c r="P8" s="33">
        <v>1.3299999999999999E-2</v>
      </c>
      <c r="Q8" s="33">
        <v>1.38E-2</v>
      </c>
      <c r="R8" s="33">
        <v>1.4999999999999999E-2</v>
      </c>
      <c r="S8" s="33">
        <v>1.5100000000000001E-2</v>
      </c>
      <c r="T8" s="33">
        <v>2.01E-2</v>
      </c>
      <c r="U8" s="33">
        <v>1.2200000000000001E-2</v>
      </c>
      <c r="V8" s="33">
        <v>8.0999999999999996E-3</v>
      </c>
      <c r="W8" s="33">
        <v>1.2E-2</v>
      </c>
      <c r="X8" s="33">
        <v>1.5100000000000001E-2</v>
      </c>
      <c r="Y8" s="33">
        <v>1.04E-2</v>
      </c>
      <c r="Z8" s="33">
        <v>1.0699999999999999E-2</v>
      </c>
      <c r="AA8" s="33">
        <v>2.3400000000000001E-2</v>
      </c>
      <c r="AB8" s="32">
        <v>1.0699999999999999E-2</v>
      </c>
      <c r="AC8" s="32">
        <v>1.0699999999999999E-2</v>
      </c>
      <c r="AD8" s="33">
        <v>2.0899999999999998E-2</v>
      </c>
      <c r="AE8" s="33">
        <v>1.2500000000000001E-2</v>
      </c>
      <c r="AF8" s="33">
        <v>-1E-4</v>
      </c>
      <c r="AG8" s="33">
        <v>-4.7999999999999996E-3</v>
      </c>
      <c r="AH8" s="33">
        <v>2.3800000000000002E-2</v>
      </c>
      <c r="AI8" s="33">
        <v>-1.9E-3</v>
      </c>
      <c r="AJ8" s="33">
        <v>-1.24E-2</v>
      </c>
      <c r="AK8" s="33">
        <v>2.5000000000000001E-3</v>
      </c>
      <c r="AL8" s="33">
        <v>1.24E-2</v>
      </c>
      <c r="AM8" s="33">
        <v>6.7000000000000002E-3</v>
      </c>
      <c r="AN8" s="33">
        <v>-3.3000000000000002E-2</v>
      </c>
      <c r="AO8" s="33">
        <v>-7.4800000000000005E-2</v>
      </c>
      <c r="AP8" s="32">
        <v>1.0699999999999999E-2</v>
      </c>
      <c r="AQ8" s="33">
        <v>1.5800000000000002E-2</v>
      </c>
      <c r="AR8" s="33">
        <v>4.99E-2</v>
      </c>
      <c r="AS8" s="33">
        <v>3.0200000000000001E-2</v>
      </c>
      <c r="AT8" s="33">
        <v>5.9400000000000001E-2</v>
      </c>
      <c r="AU8" s="33">
        <v>3.9899999999999998E-2</v>
      </c>
      <c r="AV8" s="33">
        <v>8.8099999999999998E-2</v>
      </c>
      <c r="AW8" s="33">
        <v>7.9299999999999995E-2</v>
      </c>
      <c r="AX8" s="33">
        <v>9.2299999999999993E-2</v>
      </c>
      <c r="AY8" s="33">
        <v>9.2100000000000001E-2</v>
      </c>
      <c r="AZ8" s="33">
        <v>0.1134</v>
      </c>
      <c r="BA8" s="33">
        <v>8.2400000000000001E-2</v>
      </c>
      <c r="BB8" s="33">
        <v>5.8799999999999998E-2</v>
      </c>
      <c r="BC8" s="33">
        <v>5.8599999999999999E-2</v>
      </c>
      <c r="BD8" s="33">
        <v>4.8500000000000001E-2</v>
      </c>
      <c r="BE8" s="33">
        <v>0.1024</v>
      </c>
      <c r="BF8" s="33">
        <v>7.3700000000000002E-2</v>
      </c>
      <c r="BG8" s="33">
        <v>0.187</v>
      </c>
      <c r="BH8" s="33">
        <v>7.2099999999999997E-2</v>
      </c>
      <c r="BI8" s="33">
        <v>9.4100000000000003E-2</v>
      </c>
      <c r="BJ8" s="9">
        <v>6.0400000000000002E-2</v>
      </c>
      <c r="BK8" s="31">
        <v>8.6E-3</v>
      </c>
      <c r="BL8" s="31">
        <v>5.0000000000000001E-3</v>
      </c>
      <c r="BM8" s="31">
        <v>-5.4999999999999997E-3</v>
      </c>
      <c r="BN8" s="31">
        <v>1.0699999999999999E-2</v>
      </c>
      <c r="BO8" s="9">
        <v>8.2900000000000001E-2</v>
      </c>
    </row>
    <row r="9" spans="1:67" ht="15" customHeight="1" x14ac:dyDescent="0.2">
      <c r="A9" s="8">
        <v>7</v>
      </c>
      <c r="B9" s="30">
        <v>45108</v>
      </c>
      <c r="C9" s="31">
        <v>1.0699999999999999E-2</v>
      </c>
      <c r="D9" s="31">
        <v>1.1999999999999999E-3</v>
      </c>
      <c r="E9" s="31">
        <v>1.0699999999999999E-2</v>
      </c>
      <c r="F9" s="31">
        <v>3.27E-2</v>
      </c>
      <c r="G9" s="31">
        <v>-1.61E-2</v>
      </c>
      <c r="H9" s="31">
        <v>1.0699999999999999E-2</v>
      </c>
      <c r="I9" s="32">
        <v>1.0699999999999999E-2</v>
      </c>
      <c r="J9" s="31">
        <v>1.24E-2</v>
      </c>
      <c r="K9" s="31">
        <v>2.4899999999999999E-2</v>
      </c>
      <c r="L9" s="31">
        <v>1.2200000000000001E-2</v>
      </c>
      <c r="M9" s="31">
        <v>1.35E-2</v>
      </c>
      <c r="N9" s="31">
        <v>1.35E-2</v>
      </c>
      <c r="O9" s="31">
        <v>1.23E-2</v>
      </c>
      <c r="P9" s="31">
        <v>1.21E-2</v>
      </c>
      <c r="Q9" s="31">
        <v>1.3599999999999999E-2</v>
      </c>
      <c r="R9" s="31">
        <v>1.2500000000000001E-2</v>
      </c>
      <c r="S9" s="31">
        <v>1.55E-2</v>
      </c>
      <c r="T9" s="31">
        <v>1.52E-2</v>
      </c>
      <c r="U9" s="31">
        <v>1.29E-2</v>
      </c>
      <c r="V9" s="31">
        <v>1.3599999999999999E-2</v>
      </c>
      <c r="W9" s="31">
        <v>1.43E-2</v>
      </c>
      <c r="X9" s="31">
        <v>1.8599999999999998E-2</v>
      </c>
      <c r="Y9" s="31">
        <v>1.04E-2</v>
      </c>
      <c r="Z9" s="31">
        <v>1.0500000000000001E-2</v>
      </c>
      <c r="AA9" s="31">
        <v>2.2499999999999999E-2</v>
      </c>
      <c r="AB9" s="32">
        <v>1.0699999999999999E-2</v>
      </c>
      <c r="AC9" s="32">
        <v>1.0699999999999999E-2</v>
      </c>
      <c r="AD9" s="31">
        <v>8.0000000000000002E-3</v>
      </c>
      <c r="AE9" s="31">
        <v>4.0099999999999997E-2</v>
      </c>
      <c r="AF9" s="31">
        <v>1.09E-2</v>
      </c>
      <c r="AG9" s="31">
        <v>1.18E-2</v>
      </c>
      <c r="AH9" s="31">
        <v>1.2500000000000001E-2</v>
      </c>
      <c r="AI9" s="31">
        <v>2.3099999999999999E-2</v>
      </c>
      <c r="AJ9" s="31">
        <v>3.2899999999999999E-2</v>
      </c>
      <c r="AK9" s="31">
        <v>1.4800000000000001E-2</v>
      </c>
      <c r="AL9" s="31">
        <v>1.35E-2</v>
      </c>
      <c r="AM9" s="31">
        <v>8.3000000000000001E-3</v>
      </c>
      <c r="AN9" s="31">
        <v>-2.12E-2</v>
      </c>
      <c r="AO9" s="31">
        <v>-5.28E-2</v>
      </c>
      <c r="AP9" s="32">
        <v>1.0699999999999999E-2</v>
      </c>
      <c r="AQ9" s="31">
        <v>2.1899999999999999E-2</v>
      </c>
      <c r="AR9" s="31">
        <v>2.1299999999999999E-2</v>
      </c>
      <c r="AS9" s="31">
        <v>1.52E-2</v>
      </c>
      <c r="AT9" s="31">
        <v>3.0800000000000001E-2</v>
      </c>
      <c r="AU9" s="31">
        <v>2.18E-2</v>
      </c>
      <c r="AV9" s="31">
        <v>2.87E-2</v>
      </c>
      <c r="AW9" s="31">
        <v>5.2499999999999998E-2</v>
      </c>
      <c r="AX9" s="31">
        <v>3.7999999999999999E-2</v>
      </c>
      <c r="AY9" s="31">
        <v>3.8399999999999997E-2</v>
      </c>
      <c r="AZ9" s="31">
        <v>6.08E-2</v>
      </c>
      <c r="BA9" s="31">
        <v>4.8300000000000003E-2</v>
      </c>
      <c r="BB9" s="31">
        <v>0.1031</v>
      </c>
      <c r="BC9" s="31">
        <v>7.9899999999999999E-2</v>
      </c>
      <c r="BD9" s="31">
        <v>2.81E-2</v>
      </c>
      <c r="BE9" s="31">
        <v>3.4299999999999997E-2</v>
      </c>
      <c r="BF9" s="31">
        <v>4.0300000000000002E-2</v>
      </c>
      <c r="BG9" s="31">
        <v>6.25E-2</v>
      </c>
      <c r="BH9" s="31">
        <v>3.4200000000000001E-2</v>
      </c>
      <c r="BI9" s="31">
        <v>3.15E-2</v>
      </c>
      <c r="BJ9" s="9">
        <v>3.2399999999999998E-2</v>
      </c>
      <c r="BK9" s="31">
        <v>1.9400000000000001E-2</v>
      </c>
      <c r="BL9" s="31">
        <v>2.47E-2</v>
      </c>
      <c r="BM9" s="31">
        <v>2.8899999999999999E-2</v>
      </c>
      <c r="BN9" s="31">
        <v>1.0699999999999999E-2</v>
      </c>
      <c r="BO9" s="9">
        <v>2.9399999999999999E-2</v>
      </c>
    </row>
    <row r="10" spans="1:67" ht="15" customHeight="1" x14ac:dyDescent="0.2">
      <c r="A10" s="8">
        <v>8</v>
      </c>
      <c r="B10" s="30">
        <v>45139</v>
      </c>
      <c r="C10" s="33">
        <v>1.14E-2</v>
      </c>
      <c r="D10" s="33">
        <v>2.3E-3</v>
      </c>
      <c r="E10" s="33">
        <v>1.14E-2</v>
      </c>
      <c r="F10" s="33">
        <v>-5.0900000000000001E-2</v>
      </c>
      <c r="G10" s="33">
        <v>3.7999999999999999E-2</v>
      </c>
      <c r="H10" s="33">
        <v>1.14E-2</v>
      </c>
      <c r="I10" s="32">
        <v>1.14E-2</v>
      </c>
      <c r="J10" s="33">
        <v>1.29E-2</v>
      </c>
      <c r="K10" s="33">
        <v>1.7999999999999999E-2</v>
      </c>
      <c r="L10" s="33">
        <v>1.54E-2</v>
      </c>
      <c r="M10" s="33">
        <v>1.61E-2</v>
      </c>
      <c r="N10" s="33">
        <v>1.6299999999999999E-2</v>
      </c>
      <c r="O10" s="33">
        <v>1.34E-2</v>
      </c>
      <c r="P10" s="33">
        <v>1.1299999999999999E-2</v>
      </c>
      <c r="Q10" s="33">
        <v>1.6500000000000001E-2</v>
      </c>
      <c r="R10" s="33">
        <v>1.5599999999999999E-2</v>
      </c>
      <c r="S10" s="33">
        <v>1.14E-2</v>
      </c>
      <c r="T10" s="33">
        <v>8.9999999999999993E-3</v>
      </c>
      <c r="U10" s="33">
        <v>1.41E-2</v>
      </c>
      <c r="V10" s="33">
        <v>1.35E-2</v>
      </c>
      <c r="W10" s="33">
        <v>1.46E-2</v>
      </c>
      <c r="X10" s="33">
        <v>-5.0000000000000001E-3</v>
      </c>
      <c r="Y10" s="33">
        <v>1.04E-2</v>
      </c>
      <c r="Z10" s="33">
        <v>1.14E-2</v>
      </c>
      <c r="AA10" s="33">
        <v>0.02</v>
      </c>
      <c r="AB10" s="32">
        <v>1.14E-2</v>
      </c>
      <c r="AC10" s="33">
        <v>-1.9E-3</v>
      </c>
      <c r="AD10" s="33">
        <v>7.3000000000000001E-3</v>
      </c>
      <c r="AE10" s="33">
        <v>1.95E-2</v>
      </c>
      <c r="AF10" s="33">
        <v>5.0000000000000001E-3</v>
      </c>
      <c r="AG10" s="33">
        <v>2.5999999999999999E-3</v>
      </c>
      <c r="AH10" s="33">
        <v>-8.0999999999999996E-3</v>
      </c>
      <c r="AI10" s="33">
        <v>3.0000000000000001E-3</v>
      </c>
      <c r="AJ10" s="33">
        <v>-2.5999999999999999E-3</v>
      </c>
      <c r="AK10" s="33">
        <v>5.4999999999999997E-3</v>
      </c>
      <c r="AL10" s="33">
        <v>1.6299999999999999E-2</v>
      </c>
      <c r="AM10" s="33">
        <v>-3.2000000000000002E-3</v>
      </c>
      <c r="AN10" s="33">
        <v>1.6299999999999999E-2</v>
      </c>
      <c r="AO10" s="33">
        <v>2.1399999999999999E-2</v>
      </c>
      <c r="AP10" s="32">
        <v>1.14E-2</v>
      </c>
      <c r="AQ10" s="33">
        <v>-2.9999999999999997E-4</v>
      </c>
      <c r="AR10" s="33">
        <v>-1.8800000000000001E-2</v>
      </c>
      <c r="AS10" s="33">
        <v>-4.4999999999999997E-3</v>
      </c>
      <c r="AT10" s="33">
        <v>-2.76E-2</v>
      </c>
      <c r="AU10" s="33">
        <v>-4.2799999999999998E-2</v>
      </c>
      <c r="AV10" s="33">
        <v>-4.0800000000000003E-2</v>
      </c>
      <c r="AW10" s="33">
        <v>-4.0899999999999999E-2</v>
      </c>
      <c r="AX10" s="33">
        <v>-5.2999999999999999E-2</v>
      </c>
      <c r="AY10" s="33">
        <v>-5.2200000000000003E-2</v>
      </c>
      <c r="AZ10" s="33">
        <v>-6.5699999999999995E-2</v>
      </c>
      <c r="BA10" s="33">
        <v>-6.5100000000000005E-2</v>
      </c>
      <c r="BB10" s="33">
        <v>-3.8300000000000001E-2</v>
      </c>
      <c r="BC10" s="33">
        <v>1.12E-2</v>
      </c>
      <c r="BD10" s="33">
        <v>-4.7100000000000003E-2</v>
      </c>
      <c r="BE10" s="33">
        <v>-3.8300000000000001E-2</v>
      </c>
      <c r="BF10" s="33">
        <v>-1.12E-2</v>
      </c>
      <c r="BG10" s="33">
        <v>-9.2100000000000001E-2</v>
      </c>
      <c r="BH10" s="33">
        <v>-6.3500000000000001E-2</v>
      </c>
      <c r="BI10" s="33">
        <v>-3.4500000000000003E-2</v>
      </c>
      <c r="BJ10" s="9">
        <v>-1.5299999999999999E-2</v>
      </c>
      <c r="BK10" s="31">
        <v>3.2599999999999997E-2</v>
      </c>
      <c r="BL10" s="31">
        <v>3.0800000000000001E-2</v>
      </c>
      <c r="BM10" s="31">
        <v>3.1300000000000001E-2</v>
      </c>
      <c r="BN10" s="31">
        <v>1.14E-2</v>
      </c>
      <c r="BO10" s="9">
        <v>-2.7300000000000001E-2</v>
      </c>
    </row>
    <row r="11" spans="1:67" ht="15" customHeight="1" x14ac:dyDescent="0.2">
      <c r="A11" s="8">
        <v>9</v>
      </c>
      <c r="B11" s="30">
        <v>45170</v>
      </c>
      <c r="C11" s="31">
        <v>9.7000000000000003E-3</v>
      </c>
      <c r="D11" s="31">
        <v>2.5999999999999999E-3</v>
      </c>
      <c r="E11" s="31">
        <v>9.7000000000000003E-3</v>
      </c>
      <c r="F11" s="31">
        <v>7.1000000000000004E-3</v>
      </c>
      <c r="G11" s="31">
        <v>1.7399999999999999E-2</v>
      </c>
      <c r="H11" s="31">
        <v>9.7000000000000003E-3</v>
      </c>
      <c r="I11" s="32">
        <v>9.7000000000000003E-3</v>
      </c>
      <c r="J11" s="31">
        <v>1.11E-2</v>
      </c>
      <c r="K11" s="31">
        <v>9.1999999999999998E-3</v>
      </c>
      <c r="L11" s="31">
        <v>1.32E-2</v>
      </c>
      <c r="M11" s="31">
        <v>1.1900000000000001E-2</v>
      </c>
      <c r="N11" s="31">
        <v>1.21E-2</v>
      </c>
      <c r="O11" s="31">
        <v>1.06E-2</v>
      </c>
      <c r="P11" s="31">
        <v>7.1999999999999998E-3</v>
      </c>
      <c r="Q11" s="31">
        <v>1.2E-2</v>
      </c>
      <c r="R11" s="31">
        <v>1.17E-2</v>
      </c>
      <c r="S11" s="31">
        <v>8.6999999999999994E-3</v>
      </c>
      <c r="T11" s="31">
        <v>6.7999999999999996E-3</v>
      </c>
      <c r="U11" s="31">
        <v>1.2E-2</v>
      </c>
      <c r="V11" s="31">
        <v>1.35E-2</v>
      </c>
      <c r="W11" s="31">
        <v>1.29E-2</v>
      </c>
      <c r="X11" s="31">
        <v>6.0000000000000001E-3</v>
      </c>
      <c r="Y11" s="31">
        <v>8.8000000000000005E-3</v>
      </c>
      <c r="Z11" s="31">
        <v>9.7000000000000003E-3</v>
      </c>
      <c r="AA11" s="31">
        <v>1.0800000000000001E-2</v>
      </c>
      <c r="AB11" s="32">
        <v>9.7000000000000003E-3</v>
      </c>
      <c r="AC11" s="31">
        <v>-1.15E-2</v>
      </c>
      <c r="AD11" s="31">
        <v>1.4E-3</v>
      </c>
      <c r="AE11" s="31">
        <v>2.7300000000000001E-2</v>
      </c>
      <c r="AF11" s="31">
        <v>-9.4000000000000004E-3</v>
      </c>
      <c r="AG11" s="31">
        <v>-1.83E-2</v>
      </c>
      <c r="AH11" s="31">
        <v>-1.5299999999999999E-2</v>
      </c>
      <c r="AI11" s="31">
        <v>3.0000000000000001E-3</v>
      </c>
      <c r="AJ11" s="31">
        <v>-2E-3</v>
      </c>
      <c r="AK11" s="31">
        <v>2.23E-2</v>
      </c>
      <c r="AL11" s="31">
        <v>1.21E-2</v>
      </c>
      <c r="AM11" s="31">
        <v>9.4000000000000004E-3</v>
      </c>
      <c r="AN11" s="31">
        <v>5.5999999999999999E-3</v>
      </c>
      <c r="AO11" s="31">
        <v>8.0000000000000004E-4</v>
      </c>
      <c r="AP11" s="32">
        <v>9.7000000000000003E-3</v>
      </c>
      <c r="AQ11" s="31">
        <v>8.2000000000000007E-3</v>
      </c>
      <c r="AR11" s="31">
        <v>2.9899999999999999E-2</v>
      </c>
      <c r="AS11" s="31">
        <v>1.9E-2</v>
      </c>
      <c r="AT11" s="31">
        <v>-1.2999999999999999E-2</v>
      </c>
      <c r="AU11" s="31">
        <v>-9.4999999999999998E-3</v>
      </c>
      <c r="AV11" s="31">
        <v>-1.9099999999999999E-2</v>
      </c>
      <c r="AW11" s="31">
        <v>-1.5100000000000001E-2</v>
      </c>
      <c r="AX11" s="31">
        <v>-3.3999999999999998E-3</v>
      </c>
      <c r="AY11" s="31">
        <v>-2.3999999999999998E-3</v>
      </c>
      <c r="AZ11" s="31">
        <v>-8.8000000000000005E-3</v>
      </c>
      <c r="BA11" s="31">
        <v>-9.1999999999999998E-3</v>
      </c>
      <c r="BB11" s="31">
        <v>1.6199999999999999E-2</v>
      </c>
      <c r="BC11" s="31">
        <v>-9.4000000000000004E-3</v>
      </c>
      <c r="BD11" s="31">
        <v>-6.4999999999999997E-3</v>
      </c>
      <c r="BE11" s="31">
        <v>5.5999999999999999E-3</v>
      </c>
      <c r="BF11" s="31">
        <v>-2.0199999999999999E-2</v>
      </c>
      <c r="BG11" s="31">
        <v>-2.8899999999999999E-2</v>
      </c>
      <c r="BH11" s="31">
        <v>-2.8199999999999999E-2</v>
      </c>
      <c r="BI11" s="31">
        <v>2.9999999999999997E-4</v>
      </c>
      <c r="BJ11" s="9">
        <v>-2.58E-2</v>
      </c>
      <c r="BK11" s="31">
        <v>-3.5799999999999998E-2</v>
      </c>
      <c r="BL11" s="31">
        <v>-3.73E-2</v>
      </c>
      <c r="BM11" s="31">
        <v>-4.2200000000000001E-2</v>
      </c>
      <c r="BN11" s="31">
        <v>9.7000000000000003E-3</v>
      </c>
      <c r="BO11" s="9">
        <v>1.17E-2</v>
      </c>
    </row>
    <row r="12" spans="1:67" ht="15" customHeight="1" x14ac:dyDescent="0.2">
      <c r="A12" s="8">
        <v>10</v>
      </c>
      <c r="B12" s="30">
        <v>45200</v>
      </c>
      <c r="C12" s="33">
        <v>0.01</v>
      </c>
      <c r="D12" s="33">
        <v>2.3999999999999998E-3</v>
      </c>
      <c r="E12" s="33">
        <v>0.01</v>
      </c>
      <c r="F12" s="33">
        <v>-2.9399999999999999E-2</v>
      </c>
      <c r="G12" s="33">
        <v>0.01</v>
      </c>
      <c r="H12" s="33">
        <v>0.01</v>
      </c>
      <c r="I12" s="33">
        <v>1.34E-2</v>
      </c>
      <c r="J12" s="33">
        <v>4.7000000000000002E-3</v>
      </c>
      <c r="K12" s="33">
        <v>9.5999999999999992E-3</v>
      </c>
      <c r="L12" s="33">
        <v>1.1599999999999999E-2</v>
      </c>
      <c r="M12" s="33">
        <v>1.14E-2</v>
      </c>
      <c r="N12" s="33">
        <v>1.14E-2</v>
      </c>
      <c r="O12" s="33">
        <v>1.0699999999999999E-2</v>
      </c>
      <c r="P12" s="33">
        <v>9.2999999999999992E-3</v>
      </c>
      <c r="Q12" s="33">
        <v>8.6E-3</v>
      </c>
      <c r="R12" s="33">
        <v>3.8999999999999998E-3</v>
      </c>
      <c r="S12" s="33">
        <v>6.7000000000000002E-3</v>
      </c>
      <c r="T12" s="33">
        <v>-8.9999999999999998E-4</v>
      </c>
      <c r="U12" s="33">
        <v>1.2200000000000001E-2</v>
      </c>
      <c r="V12" s="33">
        <v>9.9000000000000008E-3</v>
      </c>
      <c r="W12" s="33">
        <v>1.04E-2</v>
      </c>
      <c r="X12" s="33">
        <v>2.9999999999999997E-4</v>
      </c>
      <c r="Y12" s="33">
        <v>1.03E-2</v>
      </c>
      <c r="Z12" s="33">
        <v>9.7999999999999997E-3</v>
      </c>
      <c r="AA12" s="33">
        <v>1.29E-2</v>
      </c>
      <c r="AB12" s="32">
        <v>0.01</v>
      </c>
      <c r="AC12" s="33">
        <v>-5.0000000000000001E-3</v>
      </c>
      <c r="AD12" s="33">
        <v>3.3999999999999998E-3</v>
      </c>
      <c r="AE12" s="33">
        <v>4.7000000000000002E-3</v>
      </c>
      <c r="AF12" s="33">
        <v>-1.03E-2</v>
      </c>
      <c r="AG12" s="33">
        <v>-1.9199999999999998E-2</v>
      </c>
      <c r="AH12" s="33">
        <v>-7.1000000000000004E-3</v>
      </c>
      <c r="AI12" s="33">
        <v>-3.0000000000000001E-3</v>
      </c>
      <c r="AJ12" s="33">
        <v>-1.2699999999999999E-2</v>
      </c>
      <c r="AK12" s="33">
        <v>1.1900000000000001E-2</v>
      </c>
      <c r="AL12" s="33">
        <v>1.14E-2</v>
      </c>
      <c r="AM12" s="33">
        <v>-1.44E-2</v>
      </c>
      <c r="AN12" s="33">
        <v>2.5000000000000001E-3</v>
      </c>
      <c r="AO12" s="33">
        <v>-4.5999999999999999E-3</v>
      </c>
      <c r="AP12" s="32">
        <v>0.01</v>
      </c>
      <c r="AQ12" s="33">
        <v>-4.7000000000000002E-3</v>
      </c>
      <c r="AR12" s="33">
        <v>3.8199999999999998E-2</v>
      </c>
      <c r="AS12" s="33">
        <v>2.3E-2</v>
      </c>
      <c r="AT12" s="33">
        <v>-1.7500000000000002E-2</v>
      </c>
      <c r="AU12" s="33">
        <v>-4.7300000000000002E-2</v>
      </c>
      <c r="AV12" s="33">
        <v>-6.9699999999999998E-2</v>
      </c>
      <c r="AW12" s="33">
        <v>-5.6399999999999999E-2</v>
      </c>
      <c r="AX12" s="33">
        <v>-4.7600000000000003E-2</v>
      </c>
      <c r="AY12" s="33">
        <v>-4.6899999999999997E-2</v>
      </c>
      <c r="AZ12" s="33">
        <v>-6.2399999999999997E-2</v>
      </c>
      <c r="BA12" s="33">
        <v>-5.0500000000000003E-2</v>
      </c>
      <c r="BB12" s="33">
        <v>-8.2699999999999996E-2</v>
      </c>
      <c r="BC12" s="33">
        <v>-9.7100000000000006E-2</v>
      </c>
      <c r="BD12" s="33">
        <v>-6.3600000000000004E-2</v>
      </c>
      <c r="BE12" s="33">
        <v>-2.81E-2</v>
      </c>
      <c r="BF12" s="33">
        <v>-3.8600000000000002E-2</v>
      </c>
      <c r="BG12" s="33">
        <v>-6.2799999999999995E-2</v>
      </c>
      <c r="BH12" s="33">
        <v>-6.88E-2</v>
      </c>
      <c r="BI12" s="33">
        <v>-5.7000000000000002E-3</v>
      </c>
      <c r="BJ12" s="9">
        <v>-2.2800000000000001E-2</v>
      </c>
      <c r="BK12" s="31">
        <v>-2.01E-2</v>
      </c>
      <c r="BL12" s="31">
        <v>-1.84E-2</v>
      </c>
      <c r="BM12" s="31">
        <v>-3.1099999999999999E-2</v>
      </c>
      <c r="BN12" s="31">
        <v>0.01</v>
      </c>
      <c r="BO12" s="9">
        <v>-3.1099999999999999E-2</v>
      </c>
    </row>
    <row r="13" spans="1:67" ht="15" customHeight="1" x14ac:dyDescent="0.2">
      <c r="A13" s="8">
        <v>11</v>
      </c>
      <c r="B13" s="30">
        <v>45231</v>
      </c>
      <c r="C13" s="31">
        <v>9.1999999999999998E-3</v>
      </c>
      <c r="D13" s="31">
        <v>2.8E-3</v>
      </c>
      <c r="E13" s="31">
        <v>9.1999999999999998E-3</v>
      </c>
      <c r="F13" s="31">
        <v>0.12540000000000001</v>
      </c>
      <c r="G13" s="31">
        <v>-2.41E-2</v>
      </c>
      <c r="H13" s="31">
        <v>9.1999999999999998E-3</v>
      </c>
      <c r="I13" s="31">
        <v>1.09E-2</v>
      </c>
      <c r="J13" s="31">
        <v>1.17E-2</v>
      </c>
      <c r="K13" s="31">
        <v>1.14E-2</v>
      </c>
      <c r="L13" s="31">
        <v>1.17E-2</v>
      </c>
      <c r="M13" s="31">
        <v>1.2500000000000001E-2</v>
      </c>
      <c r="N13" s="31">
        <v>1.1299999999999999E-2</v>
      </c>
      <c r="O13" s="31">
        <v>1.09E-2</v>
      </c>
      <c r="P13" s="31">
        <v>1.14E-2</v>
      </c>
      <c r="Q13" s="31">
        <v>1.1900000000000001E-2</v>
      </c>
      <c r="R13" s="31">
        <v>8.0000000000000002E-3</v>
      </c>
      <c r="S13" s="31">
        <v>8.0000000000000002E-3</v>
      </c>
      <c r="T13" s="31">
        <v>1.04E-2</v>
      </c>
      <c r="U13" s="31">
        <v>1.14E-2</v>
      </c>
      <c r="V13" s="31">
        <v>2.3999999999999998E-3</v>
      </c>
      <c r="W13" s="31">
        <v>1.47E-2</v>
      </c>
      <c r="X13" s="31">
        <v>4.0000000000000001E-3</v>
      </c>
      <c r="Y13" s="31">
        <v>1.14E-2</v>
      </c>
      <c r="Z13" s="31">
        <v>8.9999999999999993E-3</v>
      </c>
      <c r="AA13" s="31">
        <v>8.6999999999999994E-3</v>
      </c>
      <c r="AB13" s="32">
        <v>9.1999999999999998E-3</v>
      </c>
      <c r="AC13" s="31">
        <v>2.8899999999999999E-2</v>
      </c>
      <c r="AD13" s="31">
        <v>2.4299999999999999E-2</v>
      </c>
      <c r="AE13" s="31">
        <v>3.3399999999999999E-2</v>
      </c>
      <c r="AF13" s="31">
        <v>4.2299999999999997E-2</v>
      </c>
      <c r="AG13" s="31">
        <v>6.0100000000000001E-2</v>
      </c>
      <c r="AH13" s="31">
        <v>2.81E-2</v>
      </c>
      <c r="AI13" s="31">
        <v>4.1700000000000001E-2</v>
      </c>
      <c r="AJ13" s="31">
        <v>6.4799999999999996E-2</v>
      </c>
      <c r="AK13" s="31">
        <v>1.2999999999999999E-3</v>
      </c>
      <c r="AL13" s="31">
        <v>1.1299999999999999E-2</v>
      </c>
      <c r="AM13" s="31">
        <v>4.2200000000000001E-2</v>
      </c>
      <c r="AN13" s="31">
        <v>-8.0000000000000002E-3</v>
      </c>
      <c r="AO13" s="31">
        <v>-2.3699999999999999E-2</v>
      </c>
      <c r="AP13" s="32">
        <v>9.1999999999999998E-3</v>
      </c>
      <c r="AQ13" s="31">
        <v>2.87E-2</v>
      </c>
      <c r="AR13" s="31">
        <v>0.02</v>
      </c>
      <c r="AS13" s="31">
        <v>1.47E-2</v>
      </c>
      <c r="AT13" s="31">
        <v>7.4099999999999999E-2</v>
      </c>
      <c r="AU13" s="31">
        <v>0.12609999999999999</v>
      </c>
      <c r="AV13" s="31">
        <v>9.9400000000000002E-2</v>
      </c>
      <c r="AW13" s="31">
        <v>0.10639999999999999</v>
      </c>
      <c r="AX13" s="31">
        <v>0.14419999999999999</v>
      </c>
      <c r="AY13" s="31">
        <v>0.1449</v>
      </c>
      <c r="AZ13" s="31">
        <v>0.12330000000000001</v>
      </c>
      <c r="BA13" s="31">
        <v>0.13769999999999999</v>
      </c>
      <c r="BB13" s="31">
        <v>0.11310000000000001</v>
      </c>
      <c r="BC13" s="31">
        <v>0.1096</v>
      </c>
      <c r="BD13" s="31">
        <v>0.1031</v>
      </c>
      <c r="BE13" s="31">
        <v>0.1013</v>
      </c>
      <c r="BF13" s="31">
        <v>0.1113</v>
      </c>
      <c r="BG13" s="31">
        <v>0.2419</v>
      </c>
      <c r="BH13" s="31">
        <v>0.1363</v>
      </c>
      <c r="BI13" s="31">
        <v>7.85E-2</v>
      </c>
      <c r="BJ13" s="9">
        <v>9.1200000000000003E-2</v>
      </c>
      <c r="BK13" s="31">
        <v>6.7100000000000007E-2</v>
      </c>
      <c r="BL13" s="31">
        <v>8.1000000000000003E-2</v>
      </c>
      <c r="BM13" s="31">
        <v>6.4199999999999993E-2</v>
      </c>
      <c r="BN13" s="31">
        <v>9.1999999999999998E-3</v>
      </c>
      <c r="BO13" s="9">
        <v>0.10630000000000001</v>
      </c>
    </row>
    <row r="14" spans="1:67" ht="15" customHeight="1" x14ac:dyDescent="0.2">
      <c r="A14" s="8">
        <v>12</v>
      </c>
      <c r="B14" s="30">
        <v>45261</v>
      </c>
      <c r="C14" s="33">
        <v>8.9999999999999993E-3</v>
      </c>
      <c r="D14" s="33">
        <v>5.5999999999999999E-3</v>
      </c>
      <c r="E14" s="33">
        <v>8.8999999999999999E-3</v>
      </c>
      <c r="F14" s="33">
        <v>5.3800000000000001E-2</v>
      </c>
      <c r="G14" s="33">
        <v>-1.9099999999999999E-2</v>
      </c>
      <c r="H14" s="33">
        <v>8.8999999999999999E-3</v>
      </c>
      <c r="I14" s="33">
        <v>1.09E-2</v>
      </c>
      <c r="J14" s="33">
        <v>1.17E-2</v>
      </c>
      <c r="K14" s="33">
        <v>1.0999999999999999E-2</v>
      </c>
      <c r="L14" s="33">
        <v>7.4999999999999997E-3</v>
      </c>
      <c r="M14" s="33">
        <v>1.0800000000000001E-2</v>
      </c>
      <c r="N14" s="33">
        <v>1.0500000000000001E-2</v>
      </c>
      <c r="O14" s="33">
        <v>1.04E-2</v>
      </c>
      <c r="P14" s="33">
        <v>1.01E-2</v>
      </c>
      <c r="Q14" s="33">
        <v>1.09E-2</v>
      </c>
      <c r="R14" s="33">
        <v>6.1000000000000004E-3</v>
      </c>
      <c r="S14" s="33">
        <v>8.2000000000000007E-3</v>
      </c>
      <c r="T14" s="33">
        <v>1.1599999999999999E-2</v>
      </c>
      <c r="U14" s="33">
        <v>1.12E-2</v>
      </c>
      <c r="V14" s="33">
        <v>1.4200000000000001E-2</v>
      </c>
      <c r="W14" s="33">
        <v>8.3999999999999995E-3</v>
      </c>
      <c r="X14" s="33">
        <v>1.6199999999999999E-2</v>
      </c>
      <c r="Y14" s="33">
        <v>1.0699999999999999E-2</v>
      </c>
      <c r="Z14" s="33">
        <v>8.8999999999999999E-3</v>
      </c>
      <c r="AA14" s="33">
        <v>1.11E-2</v>
      </c>
      <c r="AB14" s="32">
        <v>8.9999999999999993E-3</v>
      </c>
      <c r="AC14" s="33">
        <v>2.7199999999999998E-2</v>
      </c>
      <c r="AD14" s="33">
        <v>1.4500000000000001E-2</v>
      </c>
      <c r="AE14" s="33">
        <v>2.2599999999999999E-2</v>
      </c>
      <c r="AF14" s="33">
        <v>2.4199999999999999E-2</v>
      </c>
      <c r="AG14" s="33">
        <v>3.2599999999999997E-2</v>
      </c>
      <c r="AH14" s="33">
        <v>4.7100000000000003E-2</v>
      </c>
      <c r="AI14" s="33">
        <v>1.7500000000000002E-2</v>
      </c>
      <c r="AJ14" s="33">
        <v>2.2100000000000002E-2</v>
      </c>
      <c r="AK14" s="33">
        <v>2.7300000000000001E-2</v>
      </c>
      <c r="AL14" s="33">
        <v>1.0500000000000001E-2</v>
      </c>
      <c r="AM14" s="33">
        <v>6.7500000000000004E-2</v>
      </c>
      <c r="AN14" s="33">
        <v>1.7000000000000001E-2</v>
      </c>
      <c r="AO14" s="33">
        <v>2.52E-2</v>
      </c>
      <c r="AP14" s="32">
        <v>8.9999999999999993E-3</v>
      </c>
      <c r="AQ14" s="33">
        <v>3.2199999999999999E-2</v>
      </c>
      <c r="AR14" s="33">
        <v>4.2500000000000003E-2</v>
      </c>
      <c r="AS14" s="33">
        <v>2.52E-2</v>
      </c>
      <c r="AT14" s="33">
        <v>4.3400000000000001E-2</v>
      </c>
      <c r="AU14" s="33">
        <v>3.2000000000000001E-2</v>
      </c>
      <c r="AV14" s="33">
        <v>0.02</v>
      </c>
      <c r="AW14" s="33">
        <v>5.74E-2</v>
      </c>
      <c r="AX14" s="33">
        <v>4.1200000000000001E-2</v>
      </c>
      <c r="AY14" s="33">
        <v>4.1700000000000001E-2</v>
      </c>
      <c r="AZ14" s="33">
        <v>5.4199999999999998E-2</v>
      </c>
      <c r="BA14" s="33">
        <v>3.5299999999999998E-2</v>
      </c>
      <c r="BB14" s="33">
        <v>6.1699999999999998E-2</v>
      </c>
      <c r="BC14" s="33">
        <v>7.6600000000000001E-2</v>
      </c>
      <c r="BD14" s="33">
        <v>8.0399999999999999E-2</v>
      </c>
      <c r="BE14" s="33">
        <v>7.5300000000000006E-2</v>
      </c>
      <c r="BF14" s="33">
        <v>4.6800000000000001E-2</v>
      </c>
      <c r="BG14" s="33">
        <v>7.9200000000000007E-2</v>
      </c>
      <c r="BH14" s="33">
        <v>4.24E-2</v>
      </c>
      <c r="BI14" s="33">
        <v>4.4600000000000001E-2</v>
      </c>
      <c r="BJ14" s="9">
        <v>4.5400000000000003E-2</v>
      </c>
      <c r="BK14" s="31">
        <v>3.1699999999999999E-2</v>
      </c>
      <c r="BL14" s="31">
        <v>4.48E-2</v>
      </c>
      <c r="BM14" s="31">
        <v>3.6999999999999998E-2</v>
      </c>
      <c r="BN14" s="31">
        <v>8.8999999999999999E-3</v>
      </c>
      <c r="BO14" s="9">
        <v>7.0800000000000002E-2</v>
      </c>
    </row>
    <row r="15" spans="1:67" ht="15" customHeight="1" x14ac:dyDescent="0.2">
      <c r="A15" s="8">
        <v>13</v>
      </c>
      <c r="B15" s="30">
        <v>45292</v>
      </c>
      <c r="C15" s="31">
        <v>9.7000000000000003E-3</v>
      </c>
      <c r="D15" s="31">
        <v>4.1999999999999997E-3</v>
      </c>
      <c r="E15" s="31">
        <v>9.7000000000000003E-3</v>
      </c>
      <c r="F15" s="31">
        <v>-4.7899999999999998E-2</v>
      </c>
      <c r="G15" s="31">
        <v>2.3199999999999998E-2</v>
      </c>
      <c r="H15" s="31">
        <v>9.7000000000000003E-3</v>
      </c>
      <c r="I15" s="31">
        <v>1.18E-2</v>
      </c>
      <c r="J15" s="31">
        <v>1.12E-2</v>
      </c>
      <c r="K15" s="31">
        <v>1.5699999999999999E-2</v>
      </c>
      <c r="L15" s="31">
        <v>1.3899999999999999E-2</v>
      </c>
      <c r="M15" s="31">
        <v>1.3899999999999999E-2</v>
      </c>
      <c r="N15" s="31">
        <v>1.18E-2</v>
      </c>
      <c r="O15" s="31">
        <v>1.11E-2</v>
      </c>
      <c r="P15" s="31">
        <v>9.1000000000000004E-3</v>
      </c>
      <c r="Q15" s="31">
        <v>1.2800000000000001E-2</v>
      </c>
      <c r="R15" s="31">
        <v>1.14E-2</v>
      </c>
      <c r="S15" s="31">
        <v>1.35E-2</v>
      </c>
      <c r="T15" s="31">
        <v>1.4200000000000001E-2</v>
      </c>
      <c r="U15" s="31">
        <v>1.21E-2</v>
      </c>
      <c r="V15" s="31">
        <v>1.2699999999999999E-2</v>
      </c>
      <c r="W15" s="31">
        <v>1.5299999999999999E-2</v>
      </c>
      <c r="X15" s="31">
        <v>-4.1999999999999997E-3</v>
      </c>
      <c r="Y15" s="31">
        <v>1.43E-2</v>
      </c>
      <c r="Z15" s="31">
        <v>9.5999999999999992E-3</v>
      </c>
      <c r="AA15" s="31">
        <v>1.9400000000000001E-2</v>
      </c>
      <c r="AB15" s="32">
        <v>9.7000000000000003E-3</v>
      </c>
      <c r="AC15" s="31">
        <v>-1.1999999999999999E-3</v>
      </c>
      <c r="AD15" s="31">
        <v>6.3E-3</v>
      </c>
      <c r="AE15" s="31">
        <v>2.1600000000000001E-2</v>
      </c>
      <c r="AF15" s="31">
        <v>-4.3E-3</v>
      </c>
      <c r="AG15" s="31">
        <v>-1.04E-2</v>
      </c>
      <c r="AH15" s="31">
        <v>-1.47E-2</v>
      </c>
      <c r="AI15" s="31">
        <v>1.9E-3</v>
      </c>
      <c r="AJ15" s="31">
        <v>-3.3999999999999998E-3</v>
      </c>
      <c r="AK15" s="31">
        <v>2.0999999999999999E-3</v>
      </c>
      <c r="AL15" s="31">
        <v>1.18E-2</v>
      </c>
      <c r="AM15" s="31">
        <v>-2.2000000000000001E-3</v>
      </c>
      <c r="AN15" s="31">
        <v>3.8999999999999998E-3</v>
      </c>
      <c r="AO15" s="31">
        <v>-1.4E-3</v>
      </c>
      <c r="AP15" s="32">
        <v>9.7000000000000003E-3</v>
      </c>
      <c r="AQ15" s="31">
        <v>-3.2000000000000002E-3</v>
      </c>
      <c r="AR15" s="31">
        <v>1.0800000000000001E-2</v>
      </c>
      <c r="AS15" s="31">
        <v>1.01E-2</v>
      </c>
      <c r="AT15" s="31">
        <v>-2.2100000000000002E-2</v>
      </c>
      <c r="AU15" s="31">
        <v>4.0000000000000001E-3</v>
      </c>
      <c r="AV15" s="31">
        <v>-3.09E-2</v>
      </c>
      <c r="AW15" s="31">
        <v>-1.9199999999999998E-2</v>
      </c>
      <c r="AX15" s="31">
        <v>-4.0800000000000003E-2</v>
      </c>
      <c r="AY15" s="31">
        <v>-4.02E-2</v>
      </c>
      <c r="AZ15" s="31">
        <v>-5.6899999999999999E-2</v>
      </c>
      <c r="BA15" s="31">
        <v>-3.5799999999999998E-2</v>
      </c>
      <c r="BB15" s="31">
        <v>-5.1999999999999998E-2</v>
      </c>
      <c r="BC15" s="31">
        <v>-7.3899999999999993E-2</v>
      </c>
      <c r="BD15" s="31">
        <v>-8.3099999999999993E-2</v>
      </c>
      <c r="BE15" s="31">
        <v>-3.78E-2</v>
      </c>
      <c r="BF15" s="31">
        <v>1.5900000000000001E-2</v>
      </c>
      <c r="BG15" s="31">
        <v>-8.0199999999999994E-2</v>
      </c>
      <c r="BH15" s="31">
        <v>-3.6700000000000003E-2</v>
      </c>
      <c r="BI15" s="31">
        <v>-2.0899999999999998E-2</v>
      </c>
      <c r="BJ15" s="9">
        <v>0.03</v>
      </c>
      <c r="BK15" s="31">
        <v>3.5000000000000003E-2</v>
      </c>
      <c r="BL15" s="31">
        <v>3.5900000000000001E-2</v>
      </c>
      <c r="BM15" s="31">
        <v>1.9E-2</v>
      </c>
      <c r="BN15" s="31">
        <v>9.7000000000000003E-3</v>
      </c>
      <c r="BO15" s="9">
        <v>-3.5799999999999998E-2</v>
      </c>
    </row>
    <row r="16" spans="1:67" ht="15" customHeight="1" x14ac:dyDescent="0.2">
      <c r="A16" s="8">
        <v>14</v>
      </c>
      <c r="B16" s="30">
        <v>45323</v>
      </c>
      <c r="C16" s="33">
        <v>8.0000000000000002E-3</v>
      </c>
      <c r="D16" s="33">
        <v>8.3000000000000001E-3</v>
      </c>
      <c r="E16" s="33">
        <v>8.0000000000000002E-3</v>
      </c>
      <c r="F16" s="33">
        <v>9.9000000000000008E-3</v>
      </c>
      <c r="G16" s="33">
        <v>6.0000000000000001E-3</v>
      </c>
      <c r="H16" s="33">
        <v>8.0000000000000002E-3</v>
      </c>
      <c r="I16" s="33">
        <v>9.2999999999999992E-3</v>
      </c>
      <c r="J16" s="33">
        <v>9.9000000000000008E-3</v>
      </c>
      <c r="K16" s="33">
        <v>2.35E-2</v>
      </c>
      <c r="L16" s="33">
        <v>1.2200000000000001E-2</v>
      </c>
      <c r="M16" s="33">
        <v>1.12E-2</v>
      </c>
      <c r="N16" s="33">
        <v>1.0999999999999999E-2</v>
      </c>
      <c r="O16" s="33">
        <v>9.1999999999999998E-3</v>
      </c>
      <c r="P16" s="33">
        <v>8.5000000000000006E-3</v>
      </c>
      <c r="Q16" s="33">
        <v>1.0699999999999999E-2</v>
      </c>
      <c r="R16" s="33">
        <v>1.17E-2</v>
      </c>
      <c r="S16" s="33">
        <v>1.0999999999999999E-2</v>
      </c>
      <c r="T16" s="33">
        <v>1.2699999999999999E-2</v>
      </c>
      <c r="U16" s="33">
        <v>1.0200000000000001E-2</v>
      </c>
      <c r="V16" s="33">
        <v>1.2200000000000001E-2</v>
      </c>
      <c r="W16" s="33">
        <v>1.4999999999999999E-2</v>
      </c>
      <c r="X16" s="33">
        <v>8.3000000000000001E-3</v>
      </c>
      <c r="Y16" s="33">
        <v>2.12E-2</v>
      </c>
      <c r="Z16" s="33">
        <v>8.0000000000000002E-3</v>
      </c>
      <c r="AA16" s="33">
        <v>2.7300000000000001E-2</v>
      </c>
      <c r="AB16" s="32">
        <v>8.0000000000000002E-3</v>
      </c>
      <c r="AC16" s="33">
        <v>1.47E-2</v>
      </c>
      <c r="AD16" s="33">
        <v>4.4000000000000003E-3</v>
      </c>
      <c r="AE16" s="33">
        <v>3.0599999999999999E-2</v>
      </c>
      <c r="AF16" s="33">
        <v>-6.9999999999999999E-4</v>
      </c>
      <c r="AG16" s="33">
        <v>-4.4000000000000003E-3</v>
      </c>
      <c r="AH16" s="33">
        <v>9.1999999999999998E-3</v>
      </c>
      <c r="AI16" s="33">
        <v>5.5999999999999999E-3</v>
      </c>
      <c r="AJ16" s="33">
        <v>3.3999999999999998E-3</v>
      </c>
      <c r="AK16" s="33">
        <v>4.4000000000000003E-3</v>
      </c>
      <c r="AL16" s="33">
        <v>1.0999999999999999E-2</v>
      </c>
      <c r="AM16" s="33">
        <v>-5.0500000000000003E-2</v>
      </c>
      <c r="AN16" s="33">
        <v>4.7999999999999996E-3</v>
      </c>
      <c r="AO16" s="33">
        <v>8.0000000000000004E-4</v>
      </c>
      <c r="AP16" s="32">
        <v>8.0000000000000002E-3</v>
      </c>
      <c r="AQ16" s="33">
        <v>8.6E-3</v>
      </c>
      <c r="AR16" s="33">
        <v>-8.2500000000000004E-2</v>
      </c>
      <c r="AS16" s="33">
        <v>-3.8399999999999997E-2</v>
      </c>
      <c r="AT16" s="33">
        <v>1.4500000000000001E-2</v>
      </c>
      <c r="AU16" s="33">
        <v>8.0999999999999996E-3</v>
      </c>
      <c r="AV16" s="33">
        <v>3.8999999999999998E-3</v>
      </c>
      <c r="AW16" s="33">
        <v>2.8899999999999999E-2</v>
      </c>
      <c r="AX16" s="33">
        <v>1.9599999999999999E-2</v>
      </c>
      <c r="AY16" s="33">
        <v>0.02</v>
      </c>
      <c r="AZ16" s="33">
        <v>-7.7000000000000002E-3</v>
      </c>
      <c r="BA16" s="33">
        <v>3.61E-2</v>
      </c>
      <c r="BB16" s="33">
        <v>5.8999999999999999E-3</v>
      </c>
      <c r="BC16" s="33">
        <v>-1.49E-2</v>
      </c>
      <c r="BD16" s="33">
        <v>8.0000000000000004E-4</v>
      </c>
      <c r="BE16" s="33">
        <v>3.2800000000000003E-2</v>
      </c>
      <c r="BF16" s="33">
        <v>3.1800000000000002E-2</v>
      </c>
      <c r="BG16" s="33">
        <v>-2.5700000000000001E-2</v>
      </c>
      <c r="BH16" s="33">
        <v>5.3E-3</v>
      </c>
      <c r="BI16" s="33">
        <v>2.4500000000000001E-2</v>
      </c>
      <c r="BJ16" s="9">
        <v>5.7700000000000001E-2</v>
      </c>
      <c r="BK16" s="31">
        <v>5.4300000000000001E-2</v>
      </c>
      <c r="BL16" s="31">
        <v>5.57E-2</v>
      </c>
      <c r="BM16" s="31">
        <v>4.6199999999999998E-2</v>
      </c>
      <c r="BN16" s="31">
        <v>8.0000000000000002E-3</v>
      </c>
      <c r="BO16" s="9">
        <v>8.9999999999999993E-3</v>
      </c>
    </row>
    <row r="17" spans="1:67" ht="15" customHeight="1" x14ac:dyDescent="0.2">
      <c r="A17" s="8">
        <v>15</v>
      </c>
      <c r="B17" s="30">
        <v>45352</v>
      </c>
      <c r="C17" s="31">
        <v>8.3000000000000001E-3</v>
      </c>
      <c r="D17" s="31">
        <v>1.6000000000000001E-3</v>
      </c>
      <c r="E17" s="31">
        <v>8.3000000000000001E-3</v>
      </c>
      <c r="F17" s="31">
        <v>-7.1000000000000004E-3</v>
      </c>
      <c r="G17" s="31">
        <v>2.5999999999999999E-3</v>
      </c>
      <c r="H17" s="31">
        <v>8.3000000000000001E-3</v>
      </c>
      <c r="I17" s="31">
        <v>9.4999999999999998E-3</v>
      </c>
      <c r="J17" s="31">
        <v>9.7999999999999997E-3</v>
      </c>
      <c r="K17" s="31">
        <v>9.7999999999999997E-3</v>
      </c>
      <c r="L17" s="31">
        <v>1.2E-2</v>
      </c>
      <c r="M17" s="31">
        <v>1.12E-2</v>
      </c>
      <c r="N17" s="31">
        <v>1.09E-2</v>
      </c>
      <c r="O17" s="31">
        <v>9.4000000000000004E-3</v>
      </c>
      <c r="P17" s="31">
        <v>8.5000000000000006E-3</v>
      </c>
      <c r="Q17" s="31">
        <v>1.09E-2</v>
      </c>
      <c r="R17" s="31">
        <v>1.2500000000000001E-2</v>
      </c>
      <c r="S17" s="31">
        <v>1.0500000000000001E-2</v>
      </c>
      <c r="T17" s="31">
        <v>1.2E-2</v>
      </c>
      <c r="U17" s="31">
        <v>1.06E-2</v>
      </c>
      <c r="V17" s="31">
        <v>1.15E-2</v>
      </c>
      <c r="W17" s="31">
        <v>1.5599999999999999E-2</v>
      </c>
      <c r="X17" s="31">
        <v>6.7000000000000002E-3</v>
      </c>
      <c r="Y17" s="31">
        <v>8.5000000000000006E-3</v>
      </c>
      <c r="Z17" s="31">
        <v>8.2000000000000007E-3</v>
      </c>
      <c r="AA17" s="31">
        <v>1.23E-2</v>
      </c>
      <c r="AB17" s="32">
        <v>8.3000000000000001E-3</v>
      </c>
      <c r="AC17" s="31">
        <v>2.3E-3</v>
      </c>
      <c r="AD17" s="31">
        <v>5.1999999999999998E-3</v>
      </c>
      <c r="AE17" s="31">
        <v>1.4500000000000001E-2</v>
      </c>
      <c r="AF17" s="31">
        <v>1.77E-2</v>
      </c>
      <c r="AG17" s="31">
        <v>2.3400000000000001E-2</v>
      </c>
      <c r="AH17" s="31">
        <v>9.4000000000000004E-3</v>
      </c>
      <c r="AI17" s="31">
        <v>2.7300000000000001E-2</v>
      </c>
      <c r="AJ17" s="31">
        <v>3.9800000000000002E-2</v>
      </c>
      <c r="AK17" s="31">
        <v>1.72E-2</v>
      </c>
      <c r="AL17" s="31">
        <v>1.09E-2</v>
      </c>
      <c r="AM17" s="31">
        <v>-1.04E-2</v>
      </c>
      <c r="AN17" s="31">
        <v>1.38E-2</v>
      </c>
      <c r="AO17" s="31">
        <v>1.9400000000000001E-2</v>
      </c>
      <c r="AP17" s="32">
        <v>8.3000000000000001E-3</v>
      </c>
      <c r="AQ17" s="31">
        <v>1.4800000000000001E-2</v>
      </c>
      <c r="AR17" s="31">
        <v>4.9500000000000002E-2</v>
      </c>
      <c r="AS17" s="31">
        <v>2.8400000000000002E-2</v>
      </c>
      <c r="AT17" s="31">
        <v>1.7600000000000001E-2</v>
      </c>
      <c r="AU17" s="31">
        <v>-1E-3</v>
      </c>
      <c r="AV17" s="31">
        <v>3.0499999999999999E-2</v>
      </c>
      <c r="AW17" s="31">
        <v>6.7000000000000002E-3</v>
      </c>
      <c r="AX17" s="31">
        <v>-7.7000000000000002E-3</v>
      </c>
      <c r="AY17" s="31">
        <v>-7.3000000000000001E-3</v>
      </c>
      <c r="AZ17" s="31">
        <v>-1.4E-3</v>
      </c>
      <c r="BA17" s="31">
        <v>1.7600000000000001E-2</v>
      </c>
      <c r="BB17" s="31">
        <v>3.8600000000000002E-2</v>
      </c>
      <c r="BC17" s="31">
        <v>7.6100000000000001E-2</v>
      </c>
      <c r="BD17" s="31">
        <v>2.06E-2</v>
      </c>
      <c r="BE17" s="31">
        <v>5.7999999999999996E-3</v>
      </c>
      <c r="BF17" s="31">
        <v>3.8E-3</v>
      </c>
      <c r="BG17" s="31">
        <v>-5.62E-2</v>
      </c>
      <c r="BH17" s="31">
        <v>4.7999999999999996E-3</v>
      </c>
      <c r="BI17" s="31">
        <v>2.87E-2</v>
      </c>
      <c r="BJ17" s="9">
        <v>3.3799999999999997E-2</v>
      </c>
      <c r="BK17" s="31">
        <v>4.0899999999999999E-2</v>
      </c>
      <c r="BL17" s="31">
        <v>2.0799999999999999E-2</v>
      </c>
      <c r="BM17" s="31">
        <v>4.4999999999999998E-2</v>
      </c>
      <c r="BN17" s="31">
        <v>8.3000000000000001E-3</v>
      </c>
      <c r="BO17" s="9">
        <v>-1.23E-2</v>
      </c>
    </row>
    <row r="18" spans="1:67" ht="15" customHeight="1" x14ac:dyDescent="0.2">
      <c r="A18" s="8">
        <v>16</v>
      </c>
      <c r="B18" s="30">
        <v>45383</v>
      </c>
      <c r="C18" s="33">
        <v>8.8999999999999999E-3</v>
      </c>
      <c r="D18" s="33">
        <v>3.8E-3</v>
      </c>
      <c r="E18" s="33">
        <v>8.8999999999999999E-3</v>
      </c>
      <c r="F18" s="33">
        <v>-1.7000000000000001E-2</v>
      </c>
      <c r="G18" s="33">
        <v>3.5099999999999999E-2</v>
      </c>
      <c r="H18" s="33">
        <v>8.8999999999999999E-3</v>
      </c>
      <c r="I18" s="33">
        <v>9.9000000000000008E-3</v>
      </c>
      <c r="J18" s="33">
        <v>1.15E-2</v>
      </c>
      <c r="K18" s="33">
        <v>5.0000000000000001E-3</v>
      </c>
      <c r="L18" s="33">
        <v>0.01</v>
      </c>
      <c r="M18" s="33">
        <v>1.03E-2</v>
      </c>
      <c r="N18" s="33">
        <v>9.9000000000000008E-3</v>
      </c>
      <c r="O18" s="33">
        <v>9.4000000000000004E-3</v>
      </c>
      <c r="P18" s="33">
        <v>8.6999999999999994E-3</v>
      </c>
      <c r="Q18" s="33">
        <v>1.03E-2</v>
      </c>
      <c r="R18" s="33">
        <v>1.1599999999999999E-2</v>
      </c>
      <c r="S18" s="33">
        <v>7.1999999999999998E-3</v>
      </c>
      <c r="T18" s="33">
        <v>6.1999999999999998E-3</v>
      </c>
      <c r="U18" s="33">
        <v>1.15E-2</v>
      </c>
      <c r="V18" s="33">
        <v>6.7000000000000002E-3</v>
      </c>
      <c r="W18" s="33">
        <v>9.4999999999999998E-3</v>
      </c>
      <c r="X18" s="33">
        <v>1.9199999999999998E-2</v>
      </c>
      <c r="Y18" s="33">
        <v>2.0000000000000001E-4</v>
      </c>
      <c r="Z18" s="33">
        <v>8.8999999999999999E-3</v>
      </c>
      <c r="AA18" s="33">
        <v>8.6E-3</v>
      </c>
      <c r="AB18" s="33">
        <v>2.3E-3</v>
      </c>
      <c r="AC18" s="33">
        <v>-2.0500000000000001E-2</v>
      </c>
      <c r="AD18" s="33">
        <v>-5.7000000000000002E-3</v>
      </c>
      <c r="AE18" s="33">
        <v>3.1600000000000003E-2</v>
      </c>
      <c r="AF18" s="33">
        <v>-2.1499999999999998E-2</v>
      </c>
      <c r="AG18" s="33">
        <v>-3.5799999999999998E-2</v>
      </c>
      <c r="AH18" s="33">
        <v>-3.6200000000000003E-2</v>
      </c>
      <c r="AI18" s="33">
        <v>-4.0500000000000001E-2</v>
      </c>
      <c r="AJ18" s="33">
        <v>-7.2499999999999995E-2</v>
      </c>
      <c r="AK18" s="33">
        <v>-2.35E-2</v>
      </c>
      <c r="AL18" s="33">
        <v>9.9000000000000008E-3</v>
      </c>
      <c r="AM18" s="33">
        <v>-3.8899999999999997E-2</v>
      </c>
      <c r="AN18" s="33">
        <v>-9.4999999999999998E-3</v>
      </c>
      <c r="AO18" s="33">
        <v>-2.7699999999999999E-2</v>
      </c>
      <c r="AP18" s="32">
        <v>8.8999999999999999E-3</v>
      </c>
      <c r="AQ18" s="33">
        <v>-3.8699999999999998E-2</v>
      </c>
      <c r="AR18" s="33">
        <v>-0.1066</v>
      </c>
      <c r="AS18" s="33">
        <v>-5.1200000000000002E-2</v>
      </c>
      <c r="AT18" s="33">
        <v>-3.78E-2</v>
      </c>
      <c r="AU18" s="33">
        <v>-6.6600000000000006E-2</v>
      </c>
      <c r="AV18" s="33">
        <v>-5.45E-2</v>
      </c>
      <c r="AW18" s="33">
        <v>-4.7199999999999999E-2</v>
      </c>
      <c r="AX18" s="33">
        <v>-5.9400000000000001E-2</v>
      </c>
      <c r="AY18" s="33">
        <v>-5.8799999999999998E-2</v>
      </c>
      <c r="AZ18" s="33">
        <v>-6.0999999999999999E-2</v>
      </c>
      <c r="BA18" s="33">
        <v>-4.9799999999999997E-2</v>
      </c>
      <c r="BB18" s="33">
        <v>-5.8999999999999997E-2</v>
      </c>
      <c r="BC18" s="33">
        <v>2.5000000000000001E-3</v>
      </c>
      <c r="BD18" s="33">
        <v>-4.7399999999999998E-2</v>
      </c>
      <c r="BE18" s="33">
        <v>-4.65E-2</v>
      </c>
      <c r="BF18" s="33">
        <v>-3.9899999999999998E-2</v>
      </c>
      <c r="BG18" s="33">
        <v>-9.1399999999999995E-2</v>
      </c>
      <c r="BH18" s="33">
        <v>-5.0799999999999998E-2</v>
      </c>
      <c r="BI18" s="33">
        <v>-3.7600000000000001E-2</v>
      </c>
      <c r="BJ18" s="9">
        <v>-4.1799999999999997E-2</v>
      </c>
      <c r="BK18" s="31">
        <v>-5.4999999999999997E-3</v>
      </c>
      <c r="BL18" s="31">
        <v>-1.18E-2</v>
      </c>
      <c r="BM18" s="31">
        <v>-4.7000000000000002E-3</v>
      </c>
      <c r="BN18" s="31">
        <v>8.8999999999999999E-3</v>
      </c>
      <c r="BO18" s="9">
        <v>-3.2000000000000002E-3</v>
      </c>
    </row>
    <row r="19" spans="1:67" ht="15" customHeight="1" x14ac:dyDescent="0.2">
      <c r="A19" s="8">
        <v>17</v>
      </c>
      <c r="B19" s="30">
        <v>45413</v>
      </c>
      <c r="C19" s="31">
        <v>8.3000000000000001E-3</v>
      </c>
      <c r="D19" s="31">
        <v>4.5999999999999999E-3</v>
      </c>
      <c r="E19" s="31">
        <v>8.3000000000000001E-3</v>
      </c>
      <c r="F19" s="31">
        <v>-3.04E-2</v>
      </c>
      <c r="G19" s="31">
        <v>1.35E-2</v>
      </c>
      <c r="H19" s="31">
        <v>8.3000000000000001E-3</v>
      </c>
      <c r="I19" s="31">
        <v>1.03E-2</v>
      </c>
      <c r="J19" s="31">
        <v>9.4999999999999998E-3</v>
      </c>
      <c r="K19" s="31">
        <v>8.6E-3</v>
      </c>
      <c r="L19" s="31">
        <v>9.4000000000000004E-3</v>
      </c>
      <c r="M19" s="31">
        <v>1.2200000000000001E-2</v>
      </c>
      <c r="N19" s="31">
        <v>9.4000000000000004E-3</v>
      </c>
      <c r="O19" s="31">
        <v>8.8000000000000005E-3</v>
      </c>
      <c r="P19" s="31">
        <v>8.2000000000000007E-3</v>
      </c>
      <c r="Q19" s="31">
        <v>8.8999999999999999E-3</v>
      </c>
      <c r="R19" s="31">
        <v>8.6E-3</v>
      </c>
      <c r="S19" s="31">
        <v>3.8E-3</v>
      </c>
      <c r="T19" s="31">
        <v>2.0999999999999999E-3</v>
      </c>
      <c r="U19" s="31">
        <v>1.0200000000000001E-2</v>
      </c>
      <c r="V19" s="31">
        <v>1.03E-2</v>
      </c>
      <c r="W19" s="31">
        <v>1.38E-2</v>
      </c>
      <c r="X19" s="31">
        <v>-3.2000000000000002E-3</v>
      </c>
      <c r="Y19" s="31">
        <v>9.1000000000000004E-3</v>
      </c>
      <c r="Z19" s="31">
        <v>8.2000000000000007E-3</v>
      </c>
      <c r="AA19" s="31">
        <v>1.01E-2</v>
      </c>
      <c r="AB19" s="31">
        <v>7.7999999999999996E-3</v>
      </c>
      <c r="AC19" s="31">
        <v>1.44E-2</v>
      </c>
      <c r="AD19" s="31">
        <v>6.4000000000000003E-3</v>
      </c>
      <c r="AE19" s="31">
        <v>1.9099999999999999E-2</v>
      </c>
      <c r="AF19" s="31">
        <v>-1.1000000000000001E-3</v>
      </c>
      <c r="AG19" s="31">
        <v>-4.8999999999999998E-3</v>
      </c>
      <c r="AH19" s="31">
        <v>1.23E-2</v>
      </c>
      <c r="AI19" s="31">
        <v>1.6899999999999998E-2</v>
      </c>
      <c r="AJ19" s="31">
        <v>2.3099999999999999E-2</v>
      </c>
      <c r="AK19" s="31">
        <v>5.1999999999999998E-3</v>
      </c>
      <c r="AL19" s="31">
        <v>9.4000000000000004E-3</v>
      </c>
      <c r="AM19" s="31">
        <v>3.0000000000000001E-3</v>
      </c>
      <c r="AN19" s="31">
        <v>-3.2000000000000002E-3</v>
      </c>
      <c r="AO19" s="31">
        <v>-1.4200000000000001E-2</v>
      </c>
      <c r="AP19" s="31">
        <v>-2.3E-3</v>
      </c>
      <c r="AQ19" s="31">
        <v>2.4899999999999999E-2</v>
      </c>
      <c r="AR19" s="31">
        <v>-6.4699999999999994E-2</v>
      </c>
      <c r="AS19" s="31">
        <v>-2.92E-2</v>
      </c>
      <c r="AT19" s="31">
        <v>-8.6E-3</v>
      </c>
      <c r="AU19" s="31">
        <v>-1.0800000000000001E-2</v>
      </c>
      <c r="AV19" s="31">
        <v>-2.0199999999999999E-2</v>
      </c>
      <c r="AW19" s="31">
        <v>1.1299999999999999E-2</v>
      </c>
      <c r="AX19" s="31">
        <v>-9.4000000000000004E-3</v>
      </c>
      <c r="AY19" s="31">
        <v>-8.8999999999999999E-3</v>
      </c>
      <c r="AZ19" s="31">
        <v>-1.24E-2</v>
      </c>
      <c r="BA19" s="31">
        <v>-2.3900000000000001E-2</v>
      </c>
      <c r="BB19" s="31">
        <v>-7.4000000000000003E-3</v>
      </c>
      <c r="BC19" s="31">
        <v>-1.7399999999999999E-2</v>
      </c>
      <c r="BD19" s="31">
        <v>-5.4600000000000003E-2</v>
      </c>
      <c r="BE19" s="31">
        <v>-1.8599999999999998E-2</v>
      </c>
      <c r="BF19" s="31">
        <v>1.7100000000000001E-2</v>
      </c>
      <c r="BG19" s="31">
        <v>-6.1800000000000001E-2</v>
      </c>
      <c r="BH19" s="31">
        <v>1.0800000000000001E-2</v>
      </c>
      <c r="BI19" s="31">
        <v>8.0000000000000004E-4</v>
      </c>
      <c r="BJ19" s="9">
        <v>3.9800000000000002E-2</v>
      </c>
      <c r="BK19" s="31">
        <v>5.91E-2</v>
      </c>
      <c r="BL19" s="31">
        <v>7.7700000000000005E-2</v>
      </c>
      <c r="BM19" s="31">
        <v>5.3699999999999998E-2</v>
      </c>
      <c r="BN19" s="31">
        <v>8.3000000000000001E-3</v>
      </c>
      <c r="BO19" s="9">
        <v>-7.9000000000000008E-3</v>
      </c>
    </row>
    <row r="20" spans="1:67" ht="15" customHeight="1" x14ac:dyDescent="0.2">
      <c r="A20" s="8">
        <v>18</v>
      </c>
      <c r="B20" s="30">
        <v>45444</v>
      </c>
      <c r="C20" s="33">
        <v>7.9000000000000008E-3</v>
      </c>
      <c r="D20" s="33">
        <v>2.0999999999999999E-3</v>
      </c>
      <c r="E20" s="33">
        <v>7.9000000000000008E-3</v>
      </c>
      <c r="F20" s="33">
        <v>1.4800000000000001E-2</v>
      </c>
      <c r="G20" s="33">
        <v>6.0499999999999998E-2</v>
      </c>
      <c r="H20" s="33">
        <v>7.9000000000000008E-3</v>
      </c>
      <c r="I20" s="33">
        <v>9.1000000000000004E-3</v>
      </c>
      <c r="J20" s="33">
        <v>9.1000000000000004E-3</v>
      </c>
      <c r="K20" s="33">
        <v>7.4000000000000003E-3</v>
      </c>
      <c r="L20" s="33">
        <v>9.7000000000000003E-3</v>
      </c>
      <c r="M20" s="33">
        <v>9.7000000000000003E-3</v>
      </c>
      <c r="N20" s="33">
        <v>0.01</v>
      </c>
      <c r="O20" s="33">
        <v>8.3999999999999995E-3</v>
      </c>
      <c r="P20" s="33">
        <v>6.8999999999999999E-3</v>
      </c>
      <c r="Q20" s="33">
        <v>8.8999999999999999E-3</v>
      </c>
      <c r="R20" s="33">
        <v>9.7999999999999997E-3</v>
      </c>
      <c r="S20" s="33">
        <v>7.7999999999999996E-3</v>
      </c>
      <c r="T20" s="33">
        <v>5.7999999999999996E-3</v>
      </c>
      <c r="U20" s="33">
        <v>9.7999999999999997E-3</v>
      </c>
      <c r="V20" s="33">
        <v>8.6E-3</v>
      </c>
      <c r="W20" s="33">
        <v>1.0800000000000001E-2</v>
      </c>
      <c r="X20" s="33">
        <v>8.0000000000000002E-3</v>
      </c>
      <c r="Y20" s="33">
        <v>7.4999999999999997E-3</v>
      </c>
      <c r="Z20" s="33">
        <v>8.0000000000000002E-3</v>
      </c>
      <c r="AA20" s="33">
        <v>1.1900000000000001E-2</v>
      </c>
      <c r="AB20" s="33">
        <v>9.2999999999999992E-3</v>
      </c>
      <c r="AC20" s="33">
        <v>-8.8999999999999999E-3</v>
      </c>
      <c r="AD20" s="33">
        <v>-3.3E-3</v>
      </c>
      <c r="AE20" s="33">
        <v>2.8799999999999999E-2</v>
      </c>
      <c r="AF20" s="33">
        <v>1.8599999999999998E-2</v>
      </c>
      <c r="AG20" s="33">
        <v>2.47E-2</v>
      </c>
      <c r="AH20" s="33">
        <v>-8.0000000000000004E-4</v>
      </c>
      <c r="AI20" s="33">
        <v>1.4800000000000001E-2</v>
      </c>
      <c r="AJ20" s="33">
        <v>2.1299999999999999E-2</v>
      </c>
      <c r="AK20" s="33">
        <v>4.3E-3</v>
      </c>
      <c r="AL20" s="33">
        <v>0.01</v>
      </c>
      <c r="AM20" s="33">
        <v>3.5799999999999998E-2</v>
      </c>
      <c r="AN20" s="33">
        <v>1.6799999999999999E-2</v>
      </c>
      <c r="AO20" s="33">
        <v>2.5700000000000001E-2</v>
      </c>
      <c r="AP20" s="33">
        <v>-9.1000000000000004E-3</v>
      </c>
      <c r="AQ20" s="33">
        <v>1.6199999999999999E-2</v>
      </c>
      <c r="AR20" s="33">
        <v>-5.45E-2</v>
      </c>
      <c r="AS20" s="33">
        <v>-2.46E-2</v>
      </c>
      <c r="AT20" s="33">
        <v>2.4899999999999999E-2</v>
      </c>
      <c r="AU20" s="33">
        <v>1.9099999999999999E-2</v>
      </c>
      <c r="AV20" s="33">
        <v>-1E-3</v>
      </c>
      <c r="AW20" s="33">
        <v>1.8200000000000001E-2</v>
      </c>
      <c r="AX20" s="33">
        <v>-6.8999999999999999E-3</v>
      </c>
      <c r="AY20" s="33">
        <v>-6.4000000000000003E-3</v>
      </c>
      <c r="AZ20" s="33">
        <v>2.2499999999999999E-2</v>
      </c>
      <c r="BA20" s="33">
        <v>2.7699999999999999E-2</v>
      </c>
      <c r="BB20" s="33">
        <v>3.0000000000000001E-3</v>
      </c>
      <c r="BC20" s="33">
        <v>-2.69E-2</v>
      </c>
      <c r="BD20" s="33">
        <v>4.4999999999999997E-3</v>
      </c>
      <c r="BE20" s="33">
        <v>8.2000000000000007E-3</v>
      </c>
      <c r="BF20" s="33">
        <v>7.4999999999999997E-3</v>
      </c>
      <c r="BG20" s="33">
        <v>-7.2400000000000006E-2</v>
      </c>
      <c r="BH20" s="33">
        <v>2.5000000000000001E-3</v>
      </c>
      <c r="BI20" s="33">
        <v>8.9999999999999998E-4</v>
      </c>
      <c r="BJ20" s="9">
        <v>2.3699999999999999E-2</v>
      </c>
      <c r="BK20" s="31">
        <v>0.1026</v>
      </c>
      <c r="BL20" s="31">
        <v>0.1273</v>
      </c>
      <c r="BM20" s="31">
        <v>8.09E-2</v>
      </c>
      <c r="BN20" s="31">
        <v>7.9000000000000008E-3</v>
      </c>
      <c r="BO20" s="9">
        <v>1.4999999999999999E-2</v>
      </c>
    </row>
    <row r="21" spans="1:67" ht="15" customHeight="1" x14ac:dyDescent="0.2">
      <c r="A21" s="8">
        <v>19</v>
      </c>
      <c r="B21" s="30">
        <v>45474</v>
      </c>
      <c r="C21" s="31">
        <v>9.1000000000000004E-3</v>
      </c>
      <c r="D21" s="31">
        <v>3.8E-3</v>
      </c>
      <c r="E21" s="31">
        <v>9.1000000000000004E-3</v>
      </c>
      <c r="F21" s="31">
        <v>3.0200000000000001E-2</v>
      </c>
      <c r="G21" s="31">
        <v>1.8599999999999998E-2</v>
      </c>
      <c r="H21" s="31">
        <v>9.1000000000000004E-3</v>
      </c>
      <c r="I21" s="31">
        <v>0.01</v>
      </c>
      <c r="J21" s="31">
        <v>1.1299999999999999E-2</v>
      </c>
      <c r="K21" s="31">
        <v>1.18E-2</v>
      </c>
      <c r="L21" s="31">
        <v>1.1900000000000001E-2</v>
      </c>
      <c r="M21" s="31">
        <v>1.14E-2</v>
      </c>
      <c r="N21" s="31">
        <v>1.0699999999999999E-2</v>
      </c>
      <c r="O21" s="31">
        <v>1.03E-2</v>
      </c>
      <c r="P21" s="31">
        <v>9.7000000000000003E-3</v>
      </c>
      <c r="Q21" s="31">
        <v>1.0699999999999999E-2</v>
      </c>
      <c r="R21" s="31">
        <v>1.2E-2</v>
      </c>
      <c r="S21" s="31">
        <v>7.1999999999999998E-3</v>
      </c>
      <c r="T21" s="31">
        <v>5.1999999999999998E-3</v>
      </c>
      <c r="U21" s="31">
        <v>1.24E-2</v>
      </c>
      <c r="V21" s="31">
        <v>9.4999999999999998E-3</v>
      </c>
      <c r="W21" s="31">
        <v>1.44E-2</v>
      </c>
      <c r="X21" s="31">
        <v>3.8E-3</v>
      </c>
      <c r="Y21" s="31">
        <v>1.4200000000000001E-2</v>
      </c>
      <c r="Z21" s="31">
        <v>8.9999999999999993E-3</v>
      </c>
      <c r="AA21" s="31">
        <v>1.5900000000000001E-2</v>
      </c>
      <c r="AB21" s="31">
        <v>1.55E-2</v>
      </c>
      <c r="AC21" s="31">
        <v>2.52E-2</v>
      </c>
      <c r="AD21" s="31">
        <v>1.2999999999999999E-2</v>
      </c>
      <c r="AE21" s="31">
        <v>3.04E-2</v>
      </c>
      <c r="AF21" s="31">
        <v>1.5100000000000001E-2</v>
      </c>
      <c r="AG21" s="31">
        <v>1.9E-2</v>
      </c>
      <c r="AH21" s="31">
        <v>7.1000000000000004E-3</v>
      </c>
      <c r="AI21" s="31">
        <v>9.9000000000000008E-3</v>
      </c>
      <c r="AJ21" s="31">
        <v>9.1000000000000004E-3</v>
      </c>
      <c r="AK21" s="31">
        <v>2.7E-2</v>
      </c>
      <c r="AL21" s="31">
        <v>1.0699999999999999E-2</v>
      </c>
      <c r="AM21" s="31">
        <v>4.1799999999999997E-2</v>
      </c>
      <c r="AN21" s="31">
        <v>2.5100000000000001E-2</v>
      </c>
      <c r="AO21" s="31">
        <v>4.1599999999999998E-2</v>
      </c>
      <c r="AP21" s="31">
        <v>2.0899999999999998E-2</v>
      </c>
      <c r="AQ21" s="31">
        <v>1.3899999999999999E-2</v>
      </c>
      <c r="AR21" s="31">
        <v>5.2400000000000002E-2</v>
      </c>
      <c r="AS21" s="31">
        <v>3.0800000000000001E-2</v>
      </c>
      <c r="AT21" s="31">
        <v>2.0899999999999998E-2</v>
      </c>
      <c r="AU21" s="31">
        <v>6.7500000000000004E-2</v>
      </c>
      <c r="AV21" s="31">
        <v>6.93E-2</v>
      </c>
      <c r="AW21" s="31">
        <v>1.84E-2</v>
      </c>
      <c r="AX21" s="31">
        <v>3.56E-2</v>
      </c>
      <c r="AY21" s="31">
        <v>3.6299999999999999E-2</v>
      </c>
      <c r="AZ21" s="31">
        <v>2.7799999999999998E-2</v>
      </c>
      <c r="BA21" s="31">
        <v>1.66E-2</v>
      </c>
      <c r="BB21" s="31">
        <v>6.3299999999999995E-2</v>
      </c>
      <c r="BC21" s="31">
        <v>4.2999999999999997E-2</v>
      </c>
      <c r="BD21" s="31">
        <v>-1.3899999999999999E-2</v>
      </c>
      <c r="BE21" s="31">
        <v>1.67E-2</v>
      </c>
      <c r="BF21" s="31">
        <v>7.6E-3</v>
      </c>
      <c r="BG21" s="31">
        <v>-3.2399999999999998E-2</v>
      </c>
      <c r="BH21" s="31">
        <v>1.9699999999999999E-2</v>
      </c>
      <c r="BI21" s="31">
        <v>2.93E-2</v>
      </c>
      <c r="BJ21" s="9">
        <v>8.0999999999999996E-3</v>
      </c>
      <c r="BK21" s="31">
        <v>2.3199999999999998E-2</v>
      </c>
      <c r="BL21" s="31">
        <v>-3.3E-3</v>
      </c>
      <c r="BM21" s="31">
        <v>3.3500000000000002E-2</v>
      </c>
      <c r="BN21" s="31">
        <v>9.1000000000000004E-3</v>
      </c>
      <c r="BO21" s="9">
        <v>2.2200000000000001E-2</v>
      </c>
    </row>
    <row r="22" spans="1:67" ht="15" customHeight="1" x14ac:dyDescent="0.2">
      <c r="A22" s="8">
        <v>20</v>
      </c>
      <c r="B22" s="30">
        <v>45505</v>
      </c>
      <c r="C22" s="33">
        <v>8.6999999999999994E-3</v>
      </c>
      <c r="D22" s="33">
        <v>-2.0000000000000001E-4</v>
      </c>
      <c r="E22" s="33">
        <v>8.6999999999999994E-3</v>
      </c>
      <c r="F22" s="33">
        <v>6.54E-2</v>
      </c>
      <c r="G22" s="33">
        <v>-1E-3</v>
      </c>
      <c r="H22" s="33">
        <v>8.6999999999999994E-3</v>
      </c>
      <c r="I22" s="33">
        <v>1.03E-2</v>
      </c>
      <c r="J22" s="33">
        <v>1.06E-2</v>
      </c>
      <c r="K22" s="33">
        <v>0.01</v>
      </c>
      <c r="L22" s="33">
        <v>1.0800000000000001E-2</v>
      </c>
      <c r="M22" s="33">
        <v>1.0800000000000001E-2</v>
      </c>
      <c r="N22" s="33">
        <v>1.1599999999999999E-2</v>
      </c>
      <c r="O22" s="33">
        <v>9.7000000000000003E-3</v>
      </c>
      <c r="P22" s="33">
        <v>1.0200000000000001E-2</v>
      </c>
      <c r="Q22" s="33">
        <v>1.0200000000000001E-2</v>
      </c>
      <c r="R22" s="33">
        <v>1.03E-2</v>
      </c>
      <c r="S22" s="33">
        <v>1.1299999999999999E-2</v>
      </c>
      <c r="T22" s="33">
        <v>1.32E-2</v>
      </c>
      <c r="U22" s="33">
        <v>1.0999999999999999E-2</v>
      </c>
      <c r="V22" s="33">
        <v>9.2999999999999992E-3</v>
      </c>
      <c r="W22" s="33">
        <v>9.4000000000000004E-3</v>
      </c>
      <c r="X22" s="33">
        <v>8.8000000000000005E-3</v>
      </c>
      <c r="Y22" s="33">
        <v>1.2999999999999999E-2</v>
      </c>
      <c r="Z22" s="33">
        <v>8.6999999999999994E-3</v>
      </c>
      <c r="AA22" s="33">
        <v>1.47E-2</v>
      </c>
      <c r="AB22" s="33">
        <v>8.0999999999999996E-3</v>
      </c>
      <c r="AC22" s="33">
        <v>9.2999999999999992E-3</v>
      </c>
      <c r="AD22" s="33">
        <v>6.3E-3</v>
      </c>
      <c r="AE22" s="33">
        <v>4.5999999999999999E-3</v>
      </c>
      <c r="AF22" s="33">
        <v>-4.0000000000000002E-4</v>
      </c>
      <c r="AG22" s="33">
        <v>-3.8999999999999998E-3</v>
      </c>
      <c r="AH22" s="33">
        <v>8.8000000000000005E-3</v>
      </c>
      <c r="AI22" s="33">
        <v>3.09E-2</v>
      </c>
      <c r="AJ22" s="33">
        <v>4.2700000000000002E-2</v>
      </c>
      <c r="AK22" s="33">
        <v>6.1999999999999998E-3</v>
      </c>
      <c r="AL22" s="33">
        <v>1.1599999999999999E-2</v>
      </c>
      <c r="AM22" s="33">
        <v>6.8000000000000005E-2</v>
      </c>
      <c r="AN22" s="33">
        <v>1.5100000000000001E-2</v>
      </c>
      <c r="AO22" s="33">
        <v>2.2599999999999999E-2</v>
      </c>
      <c r="AP22" s="33">
        <v>-9.7999999999999997E-3</v>
      </c>
      <c r="AQ22" s="33">
        <v>6.8999999999999999E-3</v>
      </c>
      <c r="AR22" s="33">
        <v>-2.2000000000000001E-3</v>
      </c>
      <c r="AS22" s="33">
        <v>3.5000000000000001E-3</v>
      </c>
      <c r="AT22" s="33">
        <v>1.9900000000000001E-2</v>
      </c>
      <c r="AU22" s="33">
        <v>4.5100000000000001E-2</v>
      </c>
      <c r="AV22" s="33">
        <v>5.0299999999999997E-2</v>
      </c>
      <c r="AW22" s="33">
        <v>6.7799999999999999E-2</v>
      </c>
      <c r="AX22" s="33">
        <v>4.3900000000000002E-2</v>
      </c>
      <c r="AY22" s="33">
        <v>4.4499999999999998E-2</v>
      </c>
      <c r="AZ22" s="33">
        <v>3.9E-2</v>
      </c>
      <c r="BA22" s="33">
        <v>6.5000000000000002E-2</v>
      </c>
      <c r="BB22" s="33">
        <v>2.4E-2</v>
      </c>
      <c r="BC22" s="33">
        <v>7.4999999999999997E-3</v>
      </c>
      <c r="BD22" s="33">
        <v>0.04</v>
      </c>
      <c r="BE22" s="33">
        <v>6.5799999999999997E-2</v>
      </c>
      <c r="BF22" s="33">
        <v>3.8899999999999997E-2</v>
      </c>
      <c r="BG22" s="33">
        <v>6.1600000000000002E-2</v>
      </c>
      <c r="BH22" s="33">
        <v>5.2699999999999997E-2</v>
      </c>
      <c r="BI22" s="33">
        <v>1.35E-2</v>
      </c>
      <c r="BJ22" s="9">
        <v>2.7400000000000001E-2</v>
      </c>
      <c r="BK22" s="31">
        <v>2.06E-2</v>
      </c>
      <c r="BL22" s="31">
        <v>7.9000000000000008E-3</v>
      </c>
      <c r="BM22" s="31">
        <v>1.6899999999999998E-2</v>
      </c>
      <c r="BN22" s="31">
        <v>8.6999999999999994E-3</v>
      </c>
      <c r="BO22" s="9">
        <v>6.2700000000000006E-2</v>
      </c>
    </row>
    <row r="23" spans="1:67" ht="15" customHeight="1" x14ac:dyDescent="0.2">
      <c r="A23" s="8">
        <v>21</v>
      </c>
      <c r="B23" s="30">
        <v>45536</v>
      </c>
      <c r="C23" s="31">
        <v>8.3000000000000001E-3</v>
      </c>
      <c r="D23" s="31">
        <v>4.4000000000000003E-3</v>
      </c>
      <c r="E23" s="31">
        <v>8.3999999999999995E-3</v>
      </c>
      <c r="F23" s="31">
        <v>-3.0800000000000001E-2</v>
      </c>
      <c r="G23" s="31">
        <v>-3.6799999999999999E-2</v>
      </c>
      <c r="H23" s="31">
        <v>8.3999999999999995E-3</v>
      </c>
      <c r="I23" s="31">
        <v>9.2999999999999992E-3</v>
      </c>
      <c r="J23" s="31">
        <v>1.0200000000000001E-2</v>
      </c>
      <c r="K23" s="31">
        <v>1.2800000000000001E-2</v>
      </c>
      <c r="L23" s="31">
        <v>1.03E-2</v>
      </c>
      <c r="M23" s="31">
        <v>1.12E-2</v>
      </c>
      <c r="N23" s="31">
        <v>8.8999999999999999E-3</v>
      </c>
      <c r="O23" s="31">
        <v>8.8999999999999999E-3</v>
      </c>
      <c r="P23" s="31">
        <v>7.6E-3</v>
      </c>
      <c r="Q23" s="31">
        <v>9.5999999999999992E-3</v>
      </c>
      <c r="R23" s="31">
        <v>9.2999999999999992E-3</v>
      </c>
      <c r="S23" s="31">
        <v>3.5999999999999999E-3</v>
      </c>
      <c r="T23" s="31">
        <v>-2.3999999999999998E-3</v>
      </c>
      <c r="U23" s="31">
        <v>1.06E-2</v>
      </c>
      <c r="V23" s="31">
        <v>1.1299999999999999E-2</v>
      </c>
      <c r="W23" s="31">
        <v>1.2999999999999999E-2</v>
      </c>
      <c r="X23" s="31">
        <v>1.5699999999999999E-2</v>
      </c>
      <c r="Y23" s="31">
        <v>1.43E-2</v>
      </c>
      <c r="Z23" s="31">
        <v>8.3000000000000001E-3</v>
      </c>
      <c r="AA23" s="31">
        <v>1.5699999999999999E-2</v>
      </c>
      <c r="AB23" s="31">
        <v>1.32E-2</v>
      </c>
      <c r="AC23" s="31">
        <v>-5.1000000000000004E-3</v>
      </c>
      <c r="AD23" s="31">
        <v>3.0999999999999999E-3</v>
      </c>
      <c r="AE23" s="31">
        <v>5.4899999999999997E-2</v>
      </c>
      <c r="AF23" s="31">
        <v>1.9099999999999999E-2</v>
      </c>
      <c r="AG23" s="31">
        <v>2.5499999999999998E-2</v>
      </c>
      <c r="AH23" s="31">
        <v>6.8999999999999999E-3</v>
      </c>
      <c r="AI23" s="31">
        <v>2.1700000000000001E-2</v>
      </c>
      <c r="AJ23" s="31">
        <v>3.2300000000000002E-2</v>
      </c>
      <c r="AK23" s="31">
        <v>1.54E-2</v>
      </c>
      <c r="AL23" s="31">
        <v>8.8999999999999999E-3</v>
      </c>
      <c r="AM23" s="31">
        <v>2.4500000000000001E-2</v>
      </c>
      <c r="AN23" s="31">
        <v>0.02</v>
      </c>
      <c r="AO23" s="31">
        <v>3.2000000000000001E-2</v>
      </c>
      <c r="AP23" s="31">
        <v>4.0300000000000002E-2</v>
      </c>
      <c r="AQ23" s="31">
        <v>1.66E-2</v>
      </c>
      <c r="AR23" s="31">
        <v>5.7099999999999998E-2</v>
      </c>
      <c r="AS23" s="31">
        <v>3.1300000000000001E-2</v>
      </c>
      <c r="AT23" s="31">
        <v>-1.17E-2</v>
      </c>
      <c r="AU23" s="31">
        <v>-3.7600000000000001E-2</v>
      </c>
      <c r="AV23" s="31">
        <v>-1.83E-2</v>
      </c>
      <c r="AW23" s="31">
        <v>-3.6499999999999998E-2</v>
      </c>
      <c r="AX23" s="31">
        <v>-4.8300000000000003E-2</v>
      </c>
      <c r="AY23" s="31">
        <v>-4.7500000000000001E-2</v>
      </c>
      <c r="AZ23" s="31">
        <v>-4.2900000000000001E-2</v>
      </c>
      <c r="BA23" s="31">
        <v>-1.8700000000000001E-2</v>
      </c>
      <c r="BB23" s="31">
        <v>-2.8999999999999998E-3</v>
      </c>
      <c r="BC23" s="31">
        <v>2.4199999999999999E-2</v>
      </c>
      <c r="BD23" s="31">
        <v>-1.9900000000000001E-2</v>
      </c>
      <c r="BE23" s="31">
        <v>-3.5200000000000002E-2</v>
      </c>
      <c r="BF23" s="31">
        <v>5.0000000000000001E-3</v>
      </c>
      <c r="BG23" s="31">
        <v>-3.56E-2</v>
      </c>
      <c r="BH23" s="31">
        <v>-1.95E-2</v>
      </c>
      <c r="BI23" s="31">
        <v>-2.2599999999999999E-2</v>
      </c>
      <c r="BJ23" s="9">
        <v>7.1000000000000004E-3</v>
      </c>
      <c r="BK23" s="31">
        <v>-1.4200000000000001E-2</v>
      </c>
      <c r="BL23" s="31">
        <v>-1.04E-2</v>
      </c>
      <c r="BM23" s="31">
        <v>-1.26E-2</v>
      </c>
      <c r="BN23" s="31">
        <v>8.3999999999999995E-3</v>
      </c>
      <c r="BO23" s="9">
        <v>-4.7000000000000002E-3</v>
      </c>
    </row>
    <row r="24" spans="1:67" ht="15" customHeight="1" x14ac:dyDescent="0.2">
      <c r="A24" s="8">
        <v>22</v>
      </c>
      <c r="B24" s="30">
        <v>45566</v>
      </c>
      <c r="C24" s="33">
        <v>9.2999999999999992E-3</v>
      </c>
      <c r="D24" s="33">
        <v>5.5999999999999999E-3</v>
      </c>
      <c r="E24" s="33">
        <v>9.2999999999999992E-3</v>
      </c>
      <c r="F24" s="33">
        <v>-1.6E-2</v>
      </c>
      <c r="G24" s="33">
        <v>6.0499999999999998E-2</v>
      </c>
      <c r="H24" s="33">
        <v>9.2999999999999992E-3</v>
      </c>
      <c r="I24" s="33">
        <v>9.5999999999999992E-3</v>
      </c>
      <c r="J24" s="33">
        <v>9.5999999999999992E-3</v>
      </c>
      <c r="K24" s="33">
        <v>8.6E-3</v>
      </c>
      <c r="L24" s="33">
        <v>9.7999999999999997E-3</v>
      </c>
      <c r="M24" s="33">
        <v>9.2999999999999992E-3</v>
      </c>
      <c r="N24" s="33">
        <v>1.04E-2</v>
      </c>
      <c r="O24" s="33">
        <v>9.5999999999999992E-3</v>
      </c>
      <c r="P24" s="33">
        <v>6.6E-3</v>
      </c>
      <c r="Q24" s="33">
        <v>1.0500000000000001E-2</v>
      </c>
      <c r="R24" s="33">
        <v>1.34E-2</v>
      </c>
      <c r="S24" s="33">
        <v>6.8999999999999999E-3</v>
      </c>
      <c r="T24" s="33">
        <v>4.4999999999999997E-3</v>
      </c>
      <c r="U24" s="33">
        <v>1.1599999999999999E-2</v>
      </c>
      <c r="V24" s="33">
        <v>7.7999999999999996E-3</v>
      </c>
      <c r="W24" s="33">
        <v>1.3299999999999999E-2</v>
      </c>
      <c r="X24" s="33">
        <v>2.4199999999999999E-2</v>
      </c>
      <c r="Y24" s="33">
        <v>1.0999999999999999E-2</v>
      </c>
      <c r="Z24" s="33">
        <v>9.1999999999999998E-3</v>
      </c>
      <c r="AA24" s="33">
        <v>8.6999999999999994E-3</v>
      </c>
      <c r="AB24" s="33">
        <v>9.4000000000000004E-3</v>
      </c>
      <c r="AC24" s="33">
        <v>-7.7999999999999996E-3</v>
      </c>
      <c r="AD24" s="33">
        <v>1.8E-3</v>
      </c>
      <c r="AE24" s="33">
        <v>1.41E-2</v>
      </c>
      <c r="AF24" s="33">
        <v>5.7000000000000002E-3</v>
      </c>
      <c r="AG24" s="33">
        <v>4.4999999999999997E-3</v>
      </c>
      <c r="AH24" s="33">
        <v>3.8999999999999998E-3</v>
      </c>
      <c r="AI24" s="33">
        <v>6.4000000000000003E-3</v>
      </c>
      <c r="AJ24" s="33">
        <v>4.4000000000000003E-3</v>
      </c>
      <c r="AK24" s="33">
        <v>4.8999999999999998E-3</v>
      </c>
      <c r="AL24" s="33">
        <v>1.04E-2</v>
      </c>
      <c r="AM24" s="33">
        <v>-6.4899999999999999E-2</v>
      </c>
      <c r="AN24" s="33">
        <v>1.8700000000000001E-2</v>
      </c>
      <c r="AO24" s="33">
        <v>2.8299999999999999E-2</v>
      </c>
      <c r="AP24" s="33">
        <v>-1.3100000000000001E-2</v>
      </c>
      <c r="AQ24" s="33">
        <v>-2.2000000000000001E-3</v>
      </c>
      <c r="AR24" s="33">
        <v>3.5700000000000003E-2</v>
      </c>
      <c r="AS24" s="33">
        <v>2.18E-2</v>
      </c>
      <c r="AT24" s="33">
        <v>-1.2E-2</v>
      </c>
      <c r="AU24" s="33">
        <v>8.9999999999999998E-4</v>
      </c>
      <c r="AV24" s="33">
        <v>-1.2999999999999999E-3</v>
      </c>
      <c r="AW24" s="33">
        <v>-5.8999999999999999E-3</v>
      </c>
      <c r="AX24" s="33">
        <v>-2.6800000000000001E-2</v>
      </c>
      <c r="AY24" s="33">
        <v>-2.6100000000000002E-2</v>
      </c>
      <c r="AZ24" s="33">
        <v>-1.84E-2</v>
      </c>
      <c r="BA24" s="33">
        <v>-5.1000000000000004E-3</v>
      </c>
      <c r="BB24" s="33">
        <v>-8.0000000000000002E-3</v>
      </c>
      <c r="BC24" s="33">
        <v>-3.7199999999999997E-2</v>
      </c>
      <c r="BD24" s="33">
        <v>-1.09E-2</v>
      </c>
      <c r="BE24" s="33">
        <v>-5.1000000000000004E-3</v>
      </c>
      <c r="BF24" s="33">
        <v>-1.37E-2</v>
      </c>
      <c r="BG24" s="33">
        <v>-8.7599999999999997E-2</v>
      </c>
      <c r="BH24" s="33">
        <v>-2.6499999999999999E-2</v>
      </c>
      <c r="BI24" s="33">
        <v>1.0500000000000001E-2</v>
      </c>
      <c r="BJ24" s="9">
        <v>-6.1000000000000004E-3</v>
      </c>
      <c r="BK24" s="31">
        <v>5.74E-2</v>
      </c>
      <c r="BL24" s="31">
        <v>5.7799999999999997E-2</v>
      </c>
      <c r="BM24" s="31">
        <v>4.1599999999999998E-2</v>
      </c>
      <c r="BN24" s="31">
        <v>9.2999999999999992E-3</v>
      </c>
      <c r="BO24" s="9">
        <v>-1.8599999999999998E-2</v>
      </c>
    </row>
    <row r="25" spans="1:67" ht="15" customHeight="1" x14ac:dyDescent="0.2">
      <c r="A25" s="8">
        <v>23</v>
      </c>
      <c r="B25" s="30">
        <v>45597</v>
      </c>
      <c r="C25" s="31">
        <v>7.9000000000000008E-3</v>
      </c>
      <c r="D25" s="31">
        <v>3.8999999999999998E-3</v>
      </c>
      <c r="E25" s="31">
        <v>7.9000000000000008E-3</v>
      </c>
      <c r="F25" s="31">
        <v>-3.1199999999999999E-2</v>
      </c>
      <c r="G25" s="31">
        <v>4.7699999999999999E-2</v>
      </c>
      <c r="H25" s="31">
        <v>7.9000000000000008E-3</v>
      </c>
      <c r="I25" s="31">
        <v>8.3000000000000001E-3</v>
      </c>
      <c r="J25" s="31">
        <v>8.0999999999999996E-3</v>
      </c>
      <c r="K25" s="31">
        <v>3.0000000000000001E-3</v>
      </c>
      <c r="L25" s="31">
        <v>8.6999999999999994E-3</v>
      </c>
      <c r="M25" s="31">
        <v>8.3000000000000001E-3</v>
      </c>
      <c r="N25" s="31">
        <v>8.0000000000000002E-3</v>
      </c>
      <c r="O25" s="31">
        <v>8.6E-3</v>
      </c>
      <c r="P25" s="31">
        <v>6.4000000000000003E-3</v>
      </c>
      <c r="Q25" s="31">
        <v>8.5000000000000006E-3</v>
      </c>
      <c r="R25" s="31">
        <v>9.7999999999999997E-3</v>
      </c>
      <c r="S25" s="31">
        <v>1.0200000000000001E-2</v>
      </c>
      <c r="T25" s="31">
        <v>8.0000000000000002E-3</v>
      </c>
      <c r="U25" s="31">
        <v>9.7999999999999997E-3</v>
      </c>
      <c r="V25" s="31">
        <v>9.1999999999999998E-3</v>
      </c>
      <c r="W25" s="31">
        <v>1.12E-2</v>
      </c>
      <c r="X25" s="31">
        <v>1.8200000000000001E-2</v>
      </c>
      <c r="Y25" s="31">
        <v>8.9999999999999993E-3</v>
      </c>
      <c r="Z25" s="31">
        <v>8.0000000000000002E-3</v>
      </c>
      <c r="AA25" s="31">
        <v>7.4000000000000003E-3</v>
      </c>
      <c r="AB25" s="31">
        <v>9.7999999999999997E-3</v>
      </c>
      <c r="AC25" s="31">
        <v>-3.5000000000000001E-3</v>
      </c>
      <c r="AD25" s="31">
        <v>-5.4999999999999997E-3</v>
      </c>
      <c r="AE25" s="31">
        <v>1.9300000000000001E-2</v>
      </c>
      <c r="AF25" s="31">
        <v>8.0999999999999996E-3</v>
      </c>
      <c r="AG25" s="31">
        <v>9.1000000000000004E-3</v>
      </c>
      <c r="AH25" s="31">
        <v>3.1399999999999997E-2</v>
      </c>
      <c r="AI25" s="31">
        <v>1.04E-2</v>
      </c>
      <c r="AJ25" s="31">
        <v>1.3899999999999999E-2</v>
      </c>
      <c r="AK25" s="31">
        <v>3.5099999999999999E-2</v>
      </c>
      <c r="AL25" s="31">
        <v>8.0000000000000002E-3</v>
      </c>
      <c r="AM25" s="31">
        <v>-1.41E-2</v>
      </c>
      <c r="AN25" s="31">
        <v>2.1700000000000001E-2</v>
      </c>
      <c r="AO25" s="31">
        <v>3.5400000000000001E-2</v>
      </c>
      <c r="AP25" s="31">
        <v>1.66E-2</v>
      </c>
      <c r="AQ25" s="31">
        <v>3.2500000000000001E-2</v>
      </c>
      <c r="AR25" s="31">
        <v>1.78E-2</v>
      </c>
      <c r="AS25" s="31">
        <v>1.1900000000000001E-2</v>
      </c>
      <c r="AT25" s="31">
        <v>-5.5999999999999999E-3</v>
      </c>
      <c r="AU25" s="31">
        <v>-8.1799999999999998E-2</v>
      </c>
      <c r="AV25" s="31">
        <v>-2.8400000000000002E-2</v>
      </c>
      <c r="AW25" s="31">
        <v>-6.8500000000000005E-2</v>
      </c>
      <c r="AX25" s="31">
        <v>-9.4399999999999998E-2</v>
      </c>
      <c r="AY25" s="31">
        <v>-9.3799999999999994E-2</v>
      </c>
      <c r="AZ25" s="31">
        <v>-7.5700000000000003E-2</v>
      </c>
      <c r="BA25" s="31">
        <v>-5.9200000000000003E-2</v>
      </c>
      <c r="BB25" s="31">
        <v>-7.7700000000000005E-2</v>
      </c>
      <c r="BC25" s="31">
        <v>-0.1091</v>
      </c>
      <c r="BD25" s="31">
        <v>-8.0000000000000004E-4</v>
      </c>
      <c r="BE25" s="31">
        <v>-4.9599999999999998E-2</v>
      </c>
      <c r="BF25" s="31">
        <v>-2.2000000000000001E-3</v>
      </c>
      <c r="BG25" s="31">
        <v>-0.1171</v>
      </c>
      <c r="BH25" s="31">
        <v>-8.9599999999999999E-2</v>
      </c>
      <c r="BI25" s="31">
        <v>2.9999999999999997E-4</v>
      </c>
      <c r="BJ25" s="9">
        <v>5.4300000000000001E-2</v>
      </c>
      <c r="BK25" s="31">
        <v>8.9099999999999999E-2</v>
      </c>
      <c r="BL25" s="31">
        <v>8.1900000000000001E-2</v>
      </c>
      <c r="BM25" s="31">
        <v>8.9800000000000005E-2</v>
      </c>
      <c r="BN25" s="31">
        <v>7.9000000000000008E-3</v>
      </c>
      <c r="BO25" s="9">
        <v>1E-4</v>
      </c>
    </row>
    <row r="26" spans="1:67" ht="15" customHeight="1" x14ac:dyDescent="0.2">
      <c r="A26" s="8">
        <v>24</v>
      </c>
      <c r="B26" s="30">
        <v>45627</v>
      </c>
      <c r="C26" s="33">
        <v>9.2999999999999992E-3</v>
      </c>
      <c r="D26" s="33">
        <v>5.1999999999999998E-3</v>
      </c>
      <c r="E26" s="33">
        <v>9.2999999999999992E-3</v>
      </c>
      <c r="F26" s="33">
        <v>-4.2799999999999998E-2</v>
      </c>
      <c r="G26" s="33">
        <v>2.29E-2</v>
      </c>
      <c r="H26" s="33">
        <v>8.8000000000000005E-3</v>
      </c>
      <c r="I26" s="33">
        <v>9.2999999999999992E-3</v>
      </c>
      <c r="J26" s="33">
        <v>2.5000000000000001E-3</v>
      </c>
      <c r="K26" s="33">
        <v>6.8999999999999999E-3</v>
      </c>
      <c r="L26" s="33">
        <v>7.6E-3</v>
      </c>
      <c r="M26" s="33">
        <v>4.7000000000000002E-3</v>
      </c>
      <c r="N26" s="33">
        <v>4.5999999999999999E-3</v>
      </c>
      <c r="O26" s="33">
        <v>8.3000000000000001E-3</v>
      </c>
      <c r="P26" s="33">
        <v>6.1000000000000004E-3</v>
      </c>
      <c r="Q26" s="33">
        <v>8.3999999999999995E-3</v>
      </c>
      <c r="R26" s="33">
        <v>0.01</v>
      </c>
      <c r="S26" s="33">
        <v>6.9999999999999999E-4</v>
      </c>
      <c r="T26" s="33">
        <v>-2.9999999999999997E-4</v>
      </c>
      <c r="U26" s="33">
        <v>1.1299999999999999E-2</v>
      </c>
      <c r="V26" s="33">
        <v>5.7000000000000002E-3</v>
      </c>
      <c r="W26" s="33">
        <v>6.0000000000000001E-3</v>
      </c>
      <c r="X26" s="33">
        <v>1.52E-2</v>
      </c>
      <c r="Y26" s="33">
        <v>6.7000000000000002E-3</v>
      </c>
      <c r="Z26" s="33">
        <v>8.8000000000000005E-3</v>
      </c>
      <c r="AA26" s="33">
        <v>9.1999999999999998E-3</v>
      </c>
      <c r="AB26" s="33">
        <v>7.4000000000000003E-3</v>
      </c>
      <c r="AC26" s="33">
        <v>-2.7699999999999999E-2</v>
      </c>
      <c r="AD26" s="33">
        <v>-1.7100000000000001E-2</v>
      </c>
      <c r="AE26" s="33">
        <v>3.7499999999999999E-2</v>
      </c>
      <c r="AF26" s="33">
        <v>1.84E-2</v>
      </c>
      <c r="AG26" s="33">
        <v>2.3099999999999999E-2</v>
      </c>
      <c r="AH26" s="33">
        <v>2.2100000000000002E-2</v>
      </c>
      <c r="AI26" s="33">
        <v>-4.4999999999999997E-3</v>
      </c>
      <c r="AJ26" s="33">
        <v>-1.1900000000000001E-2</v>
      </c>
      <c r="AK26" s="33">
        <v>2E-3</v>
      </c>
      <c r="AL26" s="33">
        <v>4.5999999999999999E-3</v>
      </c>
      <c r="AM26" s="33">
        <v>-9.4000000000000004E-3</v>
      </c>
      <c r="AN26" s="33">
        <v>2.4199999999999999E-2</v>
      </c>
      <c r="AO26" s="33">
        <v>3.9899999999999998E-2</v>
      </c>
      <c r="AP26" s="33">
        <v>-3.7000000000000002E-3</v>
      </c>
      <c r="AQ26" s="33">
        <v>2.12E-2</v>
      </c>
      <c r="AR26" s="33">
        <v>-4.9299999999999997E-2</v>
      </c>
      <c r="AS26" s="33">
        <v>-2.12E-2</v>
      </c>
      <c r="AT26" s="33">
        <v>-2.4E-2</v>
      </c>
      <c r="AU26" s="33">
        <v>-7.7299999999999994E-2</v>
      </c>
      <c r="AV26" s="33">
        <v>-2.8799999999999999E-2</v>
      </c>
      <c r="AW26" s="33">
        <v>-7.7600000000000002E-2</v>
      </c>
      <c r="AX26" s="33">
        <v>-8.0399999999999999E-2</v>
      </c>
      <c r="AY26" s="33">
        <v>-8.0100000000000005E-2</v>
      </c>
      <c r="AZ26" s="33">
        <v>-7.5600000000000001E-2</v>
      </c>
      <c r="BA26" s="33">
        <v>-8.1799999999999998E-2</v>
      </c>
      <c r="BB26" s="33">
        <v>-9.2799999999999994E-2</v>
      </c>
      <c r="BC26" s="33">
        <v>-7.8100000000000003E-2</v>
      </c>
      <c r="BD26" s="33">
        <v>-5.3499999999999999E-2</v>
      </c>
      <c r="BE26" s="33">
        <v>-1.4E-2</v>
      </c>
      <c r="BF26" s="33">
        <v>-1.89E-2</v>
      </c>
      <c r="BG26" s="33">
        <v>-0.19689999999999999</v>
      </c>
      <c r="BH26" s="33">
        <v>-8.2299999999999998E-2</v>
      </c>
      <c r="BI26" s="33">
        <v>-4.1000000000000003E-3</v>
      </c>
      <c r="BJ26" s="9">
        <v>-2.2599999999999999E-2</v>
      </c>
      <c r="BK26" s="31">
        <v>1.2E-2</v>
      </c>
      <c r="BL26" s="31">
        <v>4.82E-2</v>
      </c>
      <c r="BM26" s="31">
        <v>-1.11E-2</v>
      </c>
      <c r="BN26" s="31">
        <v>8.8000000000000005E-3</v>
      </c>
      <c r="BO26" s="9">
        <v>-4.5600000000000002E-2</v>
      </c>
    </row>
    <row r="27" spans="1:67" ht="15" customHeight="1" x14ac:dyDescent="0.2">
      <c r="A27" s="8">
        <v>25</v>
      </c>
      <c r="B27" s="30">
        <v>45658</v>
      </c>
      <c r="C27" s="31">
        <v>1.01E-2</v>
      </c>
      <c r="D27" s="31">
        <v>1.6000000000000001E-3</v>
      </c>
      <c r="E27" s="31">
        <v>1.01E-2</v>
      </c>
      <c r="F27" s="31">
        <v>4.8599999999999997E-2</v>
      </c>
      <c r="G27" s="31">
        <v>-5.8500000000000003E-2</v>
      </c>
      <c r="H27" s="31">
        <v>1.01E-2</v>
      </c>
      <c r="I27" s="31">
        <v>1.0699999999999999E-2</v>
      </c>
      <c r="J27" s="31">
        <v>1.9300000000000001E-2</v>
      </c>
      <c r="K27" s="31">
        <v>1.01E-2</v>
      </c>
      <c r="L27" s="31">
        <v>1.06E-2</v>
      </c>
      <c r="M27" s="31">
        <v>1.1900000000000001E-2</v>
      </c>
      <c r="N27" s="31">
        <v>1.26E-2</v>
      </c>
      <c r="O27" s="31">
        <v>1.12E-2</v>
      </c>
      <c r="P27" s="31">
        <v>1.34E-2</v>
      </c>
      <c r="Q27" s="31">
        <v>1.15E-2</v>
      </c>
      <c r="R27" s="31">
        <v>1.23E-2</v>
      </c>
      <c r="S27" s="31">
        <v>6.7999999999999996E-3</v>
      </c>
      <c r="T27" s="31">
        <v>6.0000000000000001E-3</v>
      </c>
      <c r="U27" s="31">
        <v>1.2200000000000001E-2</v>
      </c>
      <c r="V27" s="31">
        <v>1.12E-2</v>
      </c>
      <c r="W27" s="31">
        <v>1.1299999999999999E-2</v>
      </c>
      <c r="X27" s="31">
        <v>1E-4</v>
      </c>
      <c r="Y27" s="31">
        <v>1.0999999999999999E-2</v>
      </c>
      <c r="Z27" s="31">
        <v>1.0200000000000001E-2</v>
      </c>
      <c r="AA27" s="31">
        <v>6.4999999999999997E-3</v>
      </c>
      <c r="AB27" s="31">
        <v>8.2000000000000007E-3</v>
      </c>
      <c r="AC27" s="31">
        <v>1.0800000000000001E-2</v>
      </c>
      <c r="AD27" s="31">
        <v>2.53E-2</v>
      </c>
      <c r="AE27" s="31">
        <v>1.4800000000000001E-2</v>
      </c>
      <c r="AF27" s="31">
        <v>3.7000000000000002E-3</v>
      </c>
      <c r="AG27" s="31">
        <v>1E-3</v>
      </c>
      <c r="AH27" s="31">
        <v>1.2999999999999999E-3</v>
      </c>
      <c r="AI27" s="31">
        <v>-1E-4</v>
      </c>
      <c r="AJ27" s="31">
        <v>-1.21E-2</v>
      </c>
      <c r="AK27" s="31">
        <v>3.8999999999999998E-3</v>
      </c>
      <c r="AL27" s="31">
        <v>1.26E-2</v>
      </c>
      <c r="AM27" s="31">
        <v>2.3599999999999999E-2</v>
      </c>
      <c r="AN27" s="31">
        <v>-5.4000000000000003E-3</v>
      </c>
      <c r="AO27" s="31">
        <v>-2.0799999999999999E-2</v>
      </c>
      <c r="AP27" s="31">
        <v>2.7699999999999999E-2</v>
      </c>
      <c r="AQ27" s="31">
        <v>1.5599999999999999E-2</v>
      </c>
      <c r="AR27" s="31">
        <v>2.2800000000000001E-2</v>
      </c>
      <c r="AS27" s="31">
        <v>1.5900000000000001E-2</v>
      </c>
      <c r="AT27" s="31">
        <v>2.6700000000000002E-2</v>
      </c>
      <c r="AU27" s="31">
        <v>8.3400000000000002E-2</v>
      </c>
      <c r="AV27" s="31">
        <v>5.4800000000000001E-2</v>
      </c>
      <c r="AW27" s="31">
        <v>7.7299999999999994E-2</v>
      </c>
      <c r="AX27" s="31">
        <v>4.4299999999999999E-2</v>
      </c>
      <c r="AY27" s="31">
        <v>4.5400000000000003E-2</v>
      </c>
      <c r="AZ27" s="31">
        <v>5.0999999999999997E-2</v>
      </c>
      <c r="BA27" s="31">
        <v>5.5E-2</v>
      </c>
      <c r="BB27" s="31">
        <v>7.2599999999999998E-2</v>
      </c>
      <c r="BC27" s="31">
        <v>8.1600000000000006E-2</v>
      </c>
      <c r="BD27" s="31">
        <v>2.24E-2</v>
      </c>
      <c r="BE27" s="31">
        <v>5.1799999999999999E-2</v>
      </c>
      <c r="BF27" s="31">
        <v>6.3600000000000004E-2</v>
      </c>
      <c r="BG27" s="31">
        <v>0.15590000000000001</v>
      </c>
      <c r="BH27" s="31">
        <v>7.17E-2</v>
      </c>
      <c r="BI27" s="31">
        <v>5.6300000000000003E-2</v>
      </c>
      <c r="BJ27" s="9">
        <v>4.4699999999999997E-2</v>
      </c>
      <c r="BK27" s="31">
        <v>-3.32E-2</v>
      </c>
      <c r="BL27" s="31">
        <v>-4.2099999999999999E-2</v>
      </c>
      <c r="BM27" s="31">
        <v>-2.76E-2</v>
      </c>
      <c r="BN27" s="31">
        <v>1.01E-2</v>
      </c>
      <c r="BO27" s="9">
        <v>3.2300000000000002E-2</v>
      </c>
    </row>
    <row r="28" spans="1:67" ht="15" customHeight="1" x14ac:dyDescent="0.2">
      <c r="A28" s="8">
        <v>26</v>
      </c>
      <c r="B28" s="30">
        <v>45689</v>
      </c>
      <c r="C28" s="33">
        <v>9.9000000000000008E-3</v>
      </c>
      <c r="D28" s="33">
        <v>1.3100000000000001E-2</v>
      </c>
      <c r="E28" s="33">
        <v>9.9000000000000008E-3</v>
      </c>
      <c r="F28" s="33">
        <v>-2.64E-2</v>
      </c>
      <c r="G28" s="33">
        <v>3.2000000000000002E-3</v>
      </c>
      <c r="H28" s="33">
        <v>9.9000000000000008E-3</v>
      </c>
      <c r="I28" s="33">
        <v>1.0200000000000001E-2</v>
      </c>
      <c r="J28" s="33">
        <v>1.0800000000000001E-2</v>
      </c>
      <c r="K28" s="33">
        <v>1.23E-2</v>
      </c>
      <c r="L28" s="33">
        <v>1.09E-2</v>
      </c>
      <c r="M28" s="33">
        <v>1.2E-2</v>
      </c>
      <c r="N28" s="33">
        <v>1.2699999999999999E-2</v>
      </c>
      <c r="O28" s="33">
        <v>1.0699999999999999E-2</v>
      </c>
      <c r="P28" s="33">
        <v>1.0699999999999999E-2</v>
      </c>
      <c r="Q28" s="33">
        <v>1.04E-2</v>
      </c>
      <c r="R28" s="33">
        <v>1.0999999999999999E-2</v>
      </c>
      <c r="S28" s="33">
        <v>1.47E-2</v>
      </c>
      <c r="T28" s="33">
        <v>1.3599999999999999E-2</v>
      </c>
      <c r="U28" s="33">
        <v>1.18E-2</v>
      </c>
      <c r="V28" s="33">
        <v>1.2E-2</v>
      </c>
      <c r="W28" s="33">
        <v>1.41E-2</v>
      </c>
      <c r="X28" s="33">
        <v>1.12E-2</v>
      </c>
      <c r="Y28" s="33">
        <v>1.1900000000000001E-2</v>
      </c>
      <c r="Z28" s="33">
        <v>9.7999999999999997E-3</v>
      </c>
      <c r="AA28" s="33">
        <v>1.61E-2</v>
      </c>
      <c r="AB28" s="33">
        <v>8.6E-3</v>
      </c>
      <c r="AC28" s="33">
        <v>5.5999999999999999E-3</v>
      </c>
      <c r="AD28" s="33">
        <v>6.0000000000000001E-3</v>
      </c>
      <c r="AE28" s="33">
        <v>1.32E-2</v>
      </c>
      <c r="AF28" s="33">
        <v>8.0000000000000004E-4</v>
      </c>
      <c r="AG28" s="33">
        <v>-3.0999999999999999E-3</v>
      </c>
      <c r="AH28" s="33">
        <v>1.0800000000000001E-2</v>
      </c>
      <c r="AI28" s="33">
        <v>3.5000000000000001E-3</v>
      </c>
      <c r="AJ28" s="33">
        <v>-2E-3</v>
      </c>
      <c r="AK28" s="33">
        <v>-1.06E-2</v>
      </c>
      <c r="AL28" s="33">
        <v>1.2699999999999999E-2</v>
      </c>
      <c r="AM28" s="33">
        <v>-7.0000000000000001E-3</v>
      </c>
      <c r="AN28" s="33">
        <v>1.03E-2</v>
      </c>
      <c r="AO28" s="33">
        <v>1.12E-2</v>
      </c>
      <c r="AP28" s="33">
        <v>-2.92E-2</v>
      </c>
      <c r="AQ28" s="33">
        <v>5.4000000000000003E-3</v>
      </c>
      <c r="AR28" s="33">
        <v>-3.7900000000000003E-2</v>
      </c>
      <c r="AS28" s="33">
        <v>-1.4800000000000001E-2</v>
      </c>
      <c r="AT28" s="33">
        <v>-1.6500000000000001E-2</v>
      </c>
      <c r="AU28" s="33">
        <v>-5.6300000000000003E-2</v>
      </c>
      <c r="AV28" s="33">
        <v>-1.66E-2</v>
      </c>
      <c r="AW28" s="33">
        <v>-1.5599999999999999E-2</v>
      </c>
      <c r="AX28" s="33">
        <v>-2.0899999999999998E-2</v>
      </c>
      <c r="AY28" s="33">
        <v>-2.01E-2</v>
      </c>
      <c r="AZ28" s="33">
        <v>-3.2099999999999997E-2</v>
      </c>
      <c r="BA28" s="33">
        <v>-2.1600000000000001E-2</v>
      </c>
      <c r="BB28" s="33">
        <v>-1.43E-2</v>
      </c>
      <c r="BC28" s="33">
        <v>-1.11E-2</v>
      </c>
      <c r="BD28" s="33">
        <v>-2.92E-2</v>
      </c>
      <c r="BE28" s="33">
        <v>-2.8899999999999999E-2</v>
      </c>
      <c r="BF28" s="33">
        <v>-1.8100000000000002E-2</v>
      </c>
      <c r="BG28" s="33">
        <v>-5.4600000000000003E-2</v>
      </c>
      <c r="BH28" s="33">
        <v>-3.1300000000000001E-2</v>
      </c>
      <c r="BI28" s="33">
        <v>-1.1999999999999999E-3</v>
      </c>
      <c r="BJ28" s="9">
        <v>-1.1900000000000001E-2</v>
      </c>
      <c r="BK28" s="31">
        <v>-3.7000000000000002E-3</v>
      </c>
      <c r="BL28" s="31">
        <v>-2.23E-2</v>
      </c>
      <c r="BM28" s="31">
        <v>2.7000000000000001E-3</v>
      </c>
      <c r="BN28" s="31">
        <v>9.9000000000000008E-3</v>
      </c>
      <c r="BO28" s="9">
        <v>-1.23E-2</v>
      </c>
    </row>
    <row r="29" spans="1:67" ht="15" customHeight="1" x14ac:dyDescent="0.2">
      <c r="A29" s="8">
        <v>27</v>
      </c>
      <c r="B29" s="30">
        <v>45717</v>
      </c>
      <c r="C29" s="31">
        <v>9.5999999999999992E-3</v>
      </c>
      <c r="D29" s="31">
        <v>5.5999999999999999E-3</v>
      </c>
      <c r="E29" s="31">
        <v>9.5999999999999992E-3</v>
      </c>
      <c r="F29" s="31">
        <v>6.08E-2</v>
      </c>
      <c r="G29" s="31">
        <v>-1.8200000000000001E-2</v>
      </c>
      <c r="H29" s="31">
        <v>9.5999999999999992E-3</v>
      </c>
      <c r="I29" s="31">
        <v>1.01E-2</v>
      </c>
      <c r="J29" s="31">
        <v>1.0999999999999999E-2</v>
      </c>
      <c r="K29" s="31">
        <v>1.06E-2</v>
      </c>
      <c r="L29" s="31">
        <v>1.0999999999999999E-2</v>
      </c>
      <c r="M29" s="31">
        <v>1.14E-2</v>
      </c>
      <c r="N29" s="31">
        <v>1.0999999999999999E-2</v>
      </c>
      <c r="O29" s="31">
        <v>1.0500000000000001E-2</v>
      </c>
      <c r="P29" s="31">
        <v>1.0200000000000001E-2</v>
      </c>
      <c r="Q29" s="31">
        <v>9.1999999999999998E-3</v>
      </c>
      <c r="R29" s="31">
        <v>1.03E-2</v>
      </c>
      <c r="S29" s="31">
        <v>1.26E-2</v>
      </c>
      <c r="T29" s="31">
        <v>9.5999999999999992E-3</v>
      </c>
      <c r="U29" s="31">
        <v>1.15E-2</v>
      </c>
      <c r="V29" s="31">
        <v>1.0800000000000001E-2</v>
      </c>
      <c r="W29" s="31">
        <v>1.0699999999999999E-2</v>
      </c>
      <c r="X29" s="31">
        <v>-8.0000000000000002E-3</v>
      </c>
      <c r="Y29" s="31">
        <v>1.44E-2</v>
      </c>
      <c r="Z29" s="31">
        <v>9.4999999999999998E-3</v>
      </c>
      <c r="AA29" s="31">
        <v>1.2699999999999999E-2</v>
      </c>
      <c r="AB29" s="31">
        <v>9.7000000000000003E-3</v>
      </c>
      <c r="AC29" s="31">
        <v>2.53E-2</v>
      </c>
      <c r="AD29" s="31">
        <v>1.3599999999999999E-2</v>
      </c>
      <c r="AE29" s="31">
        <v>2.1899999999999999E-2</v>
      </c>
      <c r="AF29" s="31">
        <v>-1.43E-2</v>
      </c>
      <c r="AG29" s="31">
        <v>-2.5499999999999998E-2</v>
      </c>
      <c r="AH29" s="31">
        <v>1E-3</v>
      </c>
      <c r="AI29" s="31">
        <v>1.12E-2</v>
      </c>
      <c r="AJ29" s="31">
        <v>1.2999999999999999E-2</v>
      </c>
      <c r="AK29" s="31">
        <v>-2.1499999999999998E-2</v>
      </c>
      <c r="AL29" s="31">
        <v>1.0999999999999999E-2</v>
      </c>
      <c r="AM29" s="31">
        <v>2.9899999999999999E-2</v>
      </c>
      <c r="AN29" s="31">
        <v>-2.5999999999999999E-3</v>
      </c>
      <c r="AO29" s="31">
        <v>-1.44E-2</v>
      </c>
      <c r="AP29" s="31">
        <v>-5.7999999999999996E-3</v>
      </c>
      <c r="AQ29" s="31">
        <v>5.5999999999999999E-3</v>
      </c>
      <c r="AR29" s="31">
        <v>2.0999999999999999E-3</v>
      </c>
      <c r="AS29" s="31">
        <v>4.1000000000000003E-3</v>
      </c>
      <c r="AT29" s="31">
        <v>3.2000000000000002E-3</v>
      </c>
      <c r="AU29" s="31">
        <v>6.0999999999999999E-2</v>
      </c>
      <c r="AV29" s="31">
        <v>-2.8999999999999998E-3</v>
      </c>
      <c r="AW29" s="31">
        <v>2.81E-2</v>
      </c>
      <c r="AX29" s="31">
        <v>5.7299999999999997E-2</v>
      </c>
      <c r="AY29" s="31">
        <v>5.74E-2</v>
      </c>
      <c r="AZ29" s="31">
        <v>6.6600000000000006E-2</v>
      </c>
      <c r="BA29" s="31">
        <v>-8.6E-3</v>
      </c>
      <c r="BB29" s="31">
        <v>2.41E-2</v>
      </c>
      <c r="BC29" s="31">
        <v>1.6E-2</v>
      </c>
      <c r="BD29" s="31">
        <v>2.3300000000000001E-2</v>
      </c>
      <c r="BE29" s="31">
        <v>5.2299999999999999E-2</v>
      </c>
      <c r="BF29" s="31">
        <v>-7.7000000000000002E-3</v>
      </c>
      <c r="BG29" s="31">
        <v>0.25440000000000002</v>
      </c>
      <c r="BH29" s="31">
        <v>3.8300000000000001E-2</v>
      </c>
      <c r="BI29" s="31">
        <v>4.8800000000000003E-2</v>
      </c>
      <c r="BJ29" s="9">
        <v>-2.86E-2</v>
      </c>
      <c r="BK29" s="31">
        <v>-8.6599999999999996E-2</v>
      </c>
      <c r="BL29" s="31">
        <v>-0.1046</v>
      </c>
      <c r="BM29" s="31">
        <v>-6.8000000000000005E-2</v>
      </c>
      <c r="BN29" s="31">
        <v>9.5999999999999992E-3</v>
      </c>
      <c r="BO29" s="9">
        <v>3.6799999999999999E-2</v>
      </c>
    </row>
    <row r="30" spans="1:67" ht="15" customHeight="1" x14ac:dyDescent="0.2">
      <c r="A30" s="8">
        <v>28</v>
      </c>
      <c r="B30" s="30">
        <v>45748</v>
      </c>
      <c r="C30" s="33">
        <v>1.06E-2</v>
      </c>
      <c r="D30" s="33">
        <v>4.3E-3</v>
      </c>
      <c r="E30" s="33">
        <v>1.06E-2</v>
      </c>
      <c r="F30" s="33">
        <v>3.6900000000000002E-2</v>
      </c>
      <c r="G30" s="33">
        <v>-1.4200000000000001E-2</v>
      </c>
      <c r="H30" s="33">
        <v>1.06E-2</v>
      </c>
      <c r="I30" s="33">
        <v>1.0999999999999999E-2</v>
      </c>
      <c r="J30" s="33">
        <v>1.2200000000000001E-2</v>
      </c>
      <c r="K30" s="33">
        <v>1.1599999999999999E-2</v>
      </c>
      <c r="L30" s="33">
        <v>1.09E-2</v>
      </c>
      <c r="M30" s="33">
        <v>1.12E-2</v>
      </c>
      <c r="N30" s="33">
        <v>1.15E-2</v>
      </c>
      <c r="O30" s="33">
        <v>1.12E-2</v>
      </c>
      <c r="P30" s="33">
        <v>1.09E-2</v>
      </c>
      <c r="Q30" s="33">
        <v>1.0200000000000001E-2</v>
      </c>
      <c r="R30" s="33">
        <v>1.3899999999999999E-2</v>
      </c>
      <c r="S30" s="33">
        <v>1.03E-2</v>
      </c>
      <c r="T30" s="33">
        <v>1.5800000000000002E-2</v>
      </c>
      <c r="U30" s="33">
        <v>1.2800000000000001E-2</v>
      </c>
      <c r="V30" s="33">
        <v>8.9999999999999993E-3</v>
      </c>
      <c r="W30" s="33">
        <v>-1.1000000000000001E-3</v>
      </c>
      <c r="X30" s="33">
        <v>3.4000000000000002E-2</v>
      </c>
      <c r="Y30" s="33">
        <v>1.6299999999999999E-2</v>
      </c>
      <c r="Z30" s="33">
        <v>1.04E-2</v>
      </c>
      <c r="AA30" s="33">
        <v>6.6E-3</v>
      </c>
      <c r="AB30" s="33">
        <v>1.04E-2</v>
      </c>
      <c r="AC30" s="33">
        <v>2.3199999999999998E-2</v>
      </c>
      <c r="AD30" s="33">
        <v>2.93E-2</v>
      </c>
      <c r="AE30" s="33">
        <v>2.0999999999999999E-3</v>
      </c>
      <c r="AF30" s="33">
        <v>5.8999999999999999E-3</v>
      </c>
      <c r="AG30" s="33">
        <v>5.0000000000000001E-3</v>
      </c>
      <c r="AH30" s="33">
        <v>3.6999999999999998E-2</v>
      </c>
      <c r="AI30" s="33">
        <v>1.7299999999999999E-2</v>
      </c>
      <c r="AJ30" s="33">
        <v>2.2599999999999999E-2</v>
      </c>
      <c r="AK30" s="33">
        <v>2.63E-2</v>
      </c>
      <c r="AL30" s="33">
        <v>1.15E-2</v>
      </c>
      <c r="AM30" s="33">
        <v>2.4899999999999999E-2</v>
      </c>
      <c r="AN30" s="33">
        <v>1.0800000000000001E-2</v>
      </c>
      <c r="AO30" s="33">
        <v>1.18E-2</v>
      </c>
      <c r="AP30" s="33">
        <v>4.1799999999999997E-2</v>
      </c>
      <c r="AQ30" s="33">
        <v>1.84E-2</v>
      </c>
      <c r="AR30" s="33">
        <v>0.36859999999999998</v>
      </c>
      <c r="AS30" s="33">
        <v>0.18079999999999999</v>
      </c>
      <c r="AT30" s="33">
        <v>5.1299999999999998E-2</v>
      </c>
      <c r="AU30" s="33">
        <v>0.15090000000000001</v>
      </c>
      <c r="AV30" s="33">
        <v>9.5000000000000001E-2</v>
      </c>
      <c r="AW30" s="33">
        <v>7.4899999999999994E-2</v>
      </c>
      <c r="AX30" s="33">
        <v>0.12740000000000001</v>
      </c>
      <c r="AY30" s="33">
        <v>0.12839999999999999</v>
      </c>
      <c r="AZ30" s="33">
        <v>0.10199999999999999</v>
      </c>
      <c r="BA30" s="33">
        <v>0.122</v>
      </c>
      <c r="BB30" s="33">
        <v>7.5399999999999995E-2</v>
      </c>
      <c r="BC30" s="33">
        <v>8.5199999999999998E-2</v>
      </c>
      <c r="BD30" s="33">
        <v>9.64E-2</v>
      </c>
      <c r="BE30" s="33">
        <v>5.5399999999999998E-2</v>
      </c>
      <c r="BF30" s="33">
        <v>8.3599999999999994E-2</v>
      </c>
      <c r="BG30" s="33">
        <v>9.9000000000000005E-2</v>
      </c>
      <c r="BH30" s="33">
        <v>0.11210000000000001</v>
      </c>
      <c r="BI30" s="33">
        <v>9.3200000000000005E-2</v>
      </c>
      <c r="BJ30" s="9">
        <v>1.06E-2</v>
      </c>
      <c r="BK30" s="31">
        <v>-1.21E-2</v>
      </c>
      <c r="BL30" s="31">
        <v>9.1000000000000004E-3</v>
      </c>
      <c r="BM30" s="31">
        <v>2.3E-3</v>
      </c>
      <c r="BN30" s="31">
        <v>1.06E-2</v>
      </c>
      <c r="BO30" s="9">
        <v>3.9699999999999999E-2</v>
      </c>
    </row>
    <row r="31" spans="1:67" ht="15" customHeight="1" x14ac:dyDescent="0.2">
      <c r="A31" s="8">
        <v>29</v>
      </c>
      <c r="B31" s="30">
        <v>45778</v>
      </c>
      <c r="C31" s="31">
        <v>1.14E-2</v>
      </c>
      <c r="D31" s="31">
        <v>2.5999999999999999E-3</v>
      </c>
      <c r="E31" s="31">
        <v>1.14E-2</v>
      </c>
      <c r="F31" s="31">
        <v>1.4500000000000001E-2</v>
      </c>
      <c r="G31" s="31">
        <v>8.5000000000000006E-3</v>
      </c>
      <c r="H31" s="31">
        <v>1.14E-2</v>
      </c>
      <c r="I31" s="31">
        <v>1.2E-2</v>
      </c>
      <c r="J31" s="31">
        <v>1.3100000000000001E-2</v>
      </c>
      <c r="K31" s="31">
        <v>1.01E-2</v>
      </c>
      <c r="L31" s="31">
        <v>1.0200000000000001E-2</v>
      </c>
      <c r="M31" s="31">
        <v>1.2800000000000001E-2</v>
      </c>
      <c r="N31" s="31">
        <v>1.2800000000000001E-2</v>
      </c>
      <c r="O31" s="31">
        <v>1.23E-2</v>
      </c>
      <c r="P31" s="31">
        <v>1.21E-2</v>
      </c>
      <c r="Q31" s="31">
        <v>1.2E-2</v>
      </c>
      <c r="R31" s="31">
        <v>1.2999999999999999E-2</v>
      </c>
      <c r="S31" s="31">
        <v>1.12E-2</v>
      </c>
      <c r="T31" s="31">
        <v>8.6E-3</v>
      </c>
      <c r="U31" s="31">
        <v>1.34E-2</v>
      </c>
      <c r="V31" s="31">
        <v>1.1599999999999999E-2</v>
      </c>
      <c r="W31" s="31">
        <v>1.3899999999999999E-2</v>
      </c>
      <c r="X31" s="31">
        <v>2.5999999999999999E-3</v>
      </c>
      <c r="Y31" s="31">
        <v>1.38E-2</v>
      </c>
      <c r="Z31" s="31">
        <v>1.14E-2</v>
      </c>
      <c r="AA31" s="31">
        <v>1.7000000000000001E-2</v>
      </c>
      <c r="AB31" s="31">
        <v>1.26E-2</v>
      </c>
      <c r="AC31" s="31">
        <v>1.7600000000000001E-2</v>
      </c>
      <c r="AD31" s="31">
        <v>9.7000000000000003E-3</v>
      </c>
      <c r="AE31" s="31">
        <v>2.0799999999999999E-2</v>
      </c>
      <c r="AF31" s="31">
        <v>-8.0999999999999996E-3</v>
      </c>
      <c r="AG31" s="31">
        <v>-1.7000000000000001E-2</v>
      </c>
      <c r="AH31" s="31">
        <v>-6.7999999999999996E-3</v>
      </c>
      <c r="AI31" s="31">
        <v>2.8000000000000001E-2</v>
      </c>
      <c r="AJ31" s="31">
        <v>3.9E-2</v>
      </c>
      <c r="AK31" s="31">
        <v>4.1000000000000002E-2</v>
      </c>
      <c r="AL31" s="31">
        <v>1.2800000000000001E-2</v>
      </c>
      <c r="AM31" s="31">
        <v>9.1999999999999998E-3</v>
      </c>
      <c r="AN31" s="31">
        <v>1E-4</v>
      </c>
      <c r="AO31" s="31">
        <v>-1.0800000000000001E-2</v>
      </c>
      <c r="AP31" s="31">
        <v>1.6899999999999998E-2</v>
      </c>
      <c r="AQ31" s="31">
        <v>1.2699999999999999E-2</v>
      </c>
      <c r="AR31" s="31">
        <v>-2.6800000000000001E-2</v>
      </c>
      <c r="AS31" s="31">
        <v>-9.1000000000000004E-3</v>
      </c>
      <c r="AT31" s="31">
        <v>3.4299999999999997E-2</v>
      </c>
      <c r="AU31" s="31">
        <v>8.9599999999999999E-2</v>
      </c>
      <c r="AV31" s="31">
        <v>6.4600000000000005E-2</v>
      </c>
      <c r="AW31" s="31">
        <v>2.3199999999999998E-2</v>
      </c>
      <c r="AX31" s="31">
        <v>5.96E-2</v>
      </c>
      <c r="AY31" s="31">
        <v>6.0699999999999997E-2</v>
      </c>
      <c r="AZ31" s="31">
        <v>3.9899999999999998E-2</v>
      </c>
      <c r="BA31" s="31">
        <v>5.3900000000000003E-2</v>
      </c>
      <c r="BB31" s="31">
        <v>8.6999999999999994E-2</v>
      </c>
      <c r="BC31" s="31">
        <v>0.15590000000000001</v>
      </c>
      <c r="BD31" s="31">
        <v>9.4000000000000004E-3</v>
      </c>
      <c r="BE31" s="31">
        <v>3.27E-2</v>
      </c>
      <c r="BF31" s="31">
        <v>5.3800000000000001E-2</v>
      </c>
      <c r="BG31" s="31">
        <v>7.4800000000000005E-2</v>
      </c>
      <c r="BH31" s="31">
        <v>5.67E-2</v>
      </c>
      <c r="BI31" s="31">
        <v>8.9300000000000004E-2</v>
      </c>
      <c r="BJ31" s="9">
        <v>5.6399999999999999E-2</v>
      </c>
      <c r="BK31" s="31">
        <v>6.9000000000000006E-2</v>
      </c>
      <c r="BL31" s="31">
        <v>9.7699999999999995E-2</v>
      </c>
      <c r="BM31" s="31">
        <v>6.3799999999999996E-2</v>
      </c>
      <c r="BN31" s="31">
        <v>1.14E-2</v>
      </c>
      <c r="BO31" s="9">
        <v>1.3899999999999999E-2</v>
      </c>
    </row>
    <row r="32" spans="1:67" ht="15" customHeight="1" x14ac:dyDescent="0.2">
      <c r="A32" s="8">
        <v>30</v>
      </c>
      <c r="B32" s="30">
        <v>45809</v>
      </c>
      <c r="C32" s="33">
        <v>1.0999999999999999E-2</v>
      </c>
      <c r="D32" s="33">
        <v>2.3999999999999998E-3</v>
      </c>
      <c r="E32" s="33">
        <v>1.0999999999999999E-2</v>
      </c>
      <c r="F32" s="33">
        <v>1.3299999999999999E-2</v>
      </c>
      <c r="G32" s="33">
        <v>-4.41E-2</v>
      </c>
      <c r="H32" s="33">
        <v>1.0999999999999999E-2</v>
      </c>
      <c r="I32" s="33">
        <v>1.34E-2</v>
      </c>
      <c r="J32" s="33">
        <v>1.23E-2</v>
      </c>
      <c r="K32" s="33">
        <v>1.5599999999999999E-2</v>
      </c>
      <c r="L32" s="33">
        <v>1.04E-2</v>
      </c>
      <c r="M32" s="33">
        <v>1.1599999999999999E-2</v>
      </c>
      <c r="N32" s="33">
        <v>1.21E-2</v>
      </c>
      <c r="O32" s="33">
        <v>1.1599999999999999E-2</v>
      </c>
      <c r="P32" s="33">
        <v>1.0200000000000001E-2</v>
      </c>
      <c r="Q32" s="33">
        <v>5.5999999999999999E-3</v>
      </c>
      <c r="R32" s="33">
        <v>6.4999999999999997E-3</v>
      </c>
      <c r="S32" s="33">
        <v>5.4999999999999997E-3</v>
      </c>
      <c r="T32" s="33">
        <v>2.8999999999999998E-3</v>
      </c>
      <c r="U32" s="33">
        <v>1.2800000000000001E-2</v>
      </c>
      <c r="V32" s="33">
        <v>1.2500000000000001E-2</v>
      </c>
      <c r="W32" s="33">
        <v>1.6899999999999998E-2</v>
      </c>
      <c r="X32" s="33">
        <v>2.3199999999999998E-2</v>
      </c>
      <c r="Y32" s="33">
        <v>1.1900000000000001E-2</v>
      </c>
      <c r="Z32" s="33">
        <v>1.09E-2</v>
      </c>
      <c r="AA32" s="33">
        <v>1.7000000000000001E-2</v>
      </c>
      <c r="AB32" s="33">
        <v>1.1900000000000001E-2</v>
      </c>
      <c r="AC32" s="33">
        <v>1.7899999999999999E-2</v>
      </c>
      <c r="AD32" s="33">
        <v>1.7500000000000002E-2</v>
      </c>
      <c r="AE32" s="33">
        <v>9.4999999999999998E-3</v>
      </c>
      <c r="AF32" s="33">
        <v>2.1499999999999998E-2</v>
      </c>
      <c r="AG32" s="33">
        <v>2.8000000000000001E-2</v>
      </c>
      <c r="AH32" s="33">
        <v>2.0199999999999999E-2</v>
      </c>
      <c r="AI32" s="33">
        <v>1.89E-2</v>
      </c>
      <c r="AJ32" s="33">
        <v>2.7199999999999998E-2</v>
      </c>
      <c r="AK32" s="33">
        <v>2.1299999999999999E-2</v>
      </c>
      <c r="AL32" s="33">
        <v>1.21E-2</v>
      </c>
      <c r="AM32" s="33">
        <v>6.2899999999999998E-2</v>
      </c>
      <c r="AN32" s="33">
        <v>1.9099999999999999E-2</v>
      </c>
      <c r="AO32" s="33">
        <v>2.7300000000000001E-2</v>
      </c>
      <c r="AP32" s="33">
        <v>3.09E-2</v>
      </c>
      <c r="AQ32" s="33">
        <v>9.4000000000000004E-3</v>
      </c>
      <c r="AR32" s="33">
        <v>8.3000000000000001E-3</v>
      </c>
      <c r="AS32" s="33">
        <v>9.7000000000000003E-3</v>
      </c>
      <c r="AT32" s="33">
        <v>1.6500000000000001E-2</v>
      </c>
      <c r="AU32" s="33">
        <v>4.3E-3</v>
      </c>
      <c r="AV32" s="33">
        <v>4.65E-2</v>
      </c>
      <c r="AW32" s="33">
        <v>-3.7000000000000002E-3</v>
      </c>
      <c r="AX32" s="33">
        <v>1.29E-2</v>
      </c>
      <c r="AY32" s="33">
        <v>9.2999999999999992E-3</v>
      </c>
      <c r="AZ32" s="33">
        <v>-1.1999999999999999E-3</v>
      </c>
      <c r="BA32" s="33">
        <v>-5.9999999999999995E-4</v>
      </c>
      <c r="BB32" s="33">
        <v>2.2599999999999999E-2</v>
      </c>
      <c r="BC32" s="33">
        <v>5.04E-2</v>
      </c>
      <c r="BD32" s="33">
        <v>2.3599999999999999E-2</v>
      </c>
      <c r="BE32" s="33">
        <v>2.8000000000000001E-2</v>
      </c>
      <c r="BF32" s="33">
        <v>1.9599999999999999E-2</v>
      </c>
      <c r="BG32" s="33">
        <v>5.1299999999999998E-2</v>
      </c>
      <c r="BH32" s="33">
        <v>-5.7000000000000002E-3</v>
      </c>
      <c r="BI32" s="33">
        <v>2.0899999999999998E-2</v>
      </c>
      <c r="BJ32" s="9">
        <v>5.0299999999999997E-2</v>
      </c>
      <c r="BK32" s="31">
        <v>-2.5000000000000001E-3</v>
      </c>
      <c r="BL32" s="31">
        <v>1.12E-2</v>
      </c>
      <c r="BM32" s="31">
        <v>-5.8999999999999999E-3</v>
      </c>
      <c r="BN32" s="31">
        <v>1.0999999999999999E-2</v>
      </c>
      <c r="BO32" s="9">
        <v>1.54E-2</v>
      </c>
    </row>
    <row r="33" spans="1:67" ht="15" customHeight="1" x14ac:dyDescent="0.2">
      <c r="A33" s="8">
        <v>31</v>
      </c>
      <c r="B33" s="30">
        <v>45839</v>
      </c>
      <c r="C33" s="31">
        <v>1.2800000000000001E-2</v>
      </c>
      <c r="D33" s="31">
        <v>2.5999999999999999E-3</v>
      </c>
      <c r="E33" s="31">
        <v>1.2800000000000001E-2</v>
      </c>
      <c r="F33" s="31">
        <v>-4.1700000000000001E-2</v>
      </c>
      <c r="G33" s="31">
        <v>2.6599999999999999E-2</v>
      </c>
      <c r="H33" s="31">
        <v>1.2800000000000001E-2</v>
      </c>
      <c r="I33" s="31">
        <v>1.3599999999999999E-2</v>
      </c>
      <c r="J33" s="31">
        <v>1.46E-2</v>
      </c>
      <c r="K33" s="31">
        <v>1.3100000000000001E-2</v>
      </c>
      <c r="L33" s="31">
        <v>1.3599999999999999E-2</v>
      </c>
      <c r="M33" s="31">
        <v>1.38E-2</v>
      </c>
      <c r="N33" s="31">
        <v>1.4E-2</v>
      </c>
      <c r="O33" s="31">
        <v>1.3299999999999999E-2</v>
      </c>
      <c r="P33" s="31">
        <v>1.21E-2</v>
      </c>
      <c r="Q33" s="31">
        <v>1.8700000000000001E-2</v>
      </c>
      <c r="R33" s="31">
        <v>1.83E-2</v>
      </c>
      <c r="S33" s="31">
        <v>1.54E-2</v>
      </c>
      <c r="T33" s="31">
        <v>1.72E-2</v>
      </c>
      <c r="U33" s="31">
        <v>1.4800000000000001E-2</v>
      </c>
      <c r="V33" s="31">
        <v>1.54E-2</v>
      </c>
      <c r="W33" s="31">
        <v>1.9E-2</v>
      </c>
      <c r="X33" s="31">
        <v>-3.5000000000000001E-3</v>
      </c>
      <c r="Y33" s="31">
        <v>9.7000000000000003E-3</v>
      </c>
      <c r="Z33" s="31">
        <v>1.2699999999999999E-2</v>
      </c>
      <c r="AA33" s="31">
        <v>2.12E-2</v>
      </c>
      <c r="AB33" s="31">
        <v>1.44E-2</v>
      </c>
      <c r="AC33" s="31">
        <v>-8.3999999999999995E-3</v>
      </c>
      <c r="AD33" s="31">
        <v>2.5999999999999999E-3</v>
      </c>
      <c r="AE33" s="31">
        <v>2.4899999999999999E-2</v>
      </c>
      <c r="AF33" s="31">
        <v>-1.6899999999999998E-2</v>
      </c>
      <c r="AG33" s="31">
        <v>-3.09E-2</v>
      </c>
      <c r="AH33" s="31">
        <v>-1.2E-2</v>
      </c>
      <c r="AI33" s="31">
        <v>6.0000000000000001E-3</v>
      </c>
      <c r="AJ33" s="31">
        <v>4.7000000000000002E-3</v>
      </c>
      <c r="AK33" s="31">
        <v>8.6999999999999994E-3</v>
      </c>
      <c r="AL33" s="31">
        <v>1.4E-2</v>
      </c>
      <c r="AM33" s="31">
        <v>-3.9800000000000002E-2</v>
      </c>
      <c r="AN33" s="31">
        <v>-1.9E-3</v>
      </c>
      <c r="AO33" s="31">
        <v>-1.5800000000000002E-2</v>
      </c>
      <c r="AP33" s="31">
        <v>-3.8E-3</v>
      </c>
      <c r="AQ33" s="31">
        <v>1.6999999999999999E-3</v>
      </c>
      <c r="AR33" s="31">
        <v>-0.1258</v>
      </c>
      <c r="AS33" s="31">
        <v>-5.9700000000000003E-2</v>
      </c>
      <c r="AT33" s="31">
        <v>-3.8899999999999997E-2</v>
      </c>
      <c r="AU33" s="31">
        <v>-9.3700000000000006E-2</v>
      </c>
      <c r="AV33" s="31">
        <v>-6.0199999999999997E-2</v>
      </c>
      <c r="AW33" s="31">
        <v>-4.6699999999999998E-2</v>
      </c>
      <c r="AX33" s="31">
        <v>-7.3999999999999996E-2</v>
      </c>
      <c r="AY33" s="31">
        <v>-7.3099999999999998E-2</v>
      </c>
      <c r="AZ33" s="31">
        <v>-6.1499999999999999E-2</v>
      </c>
      <c r="BA33" s="31">
        <v>-7.4099999999999999E-2</v>
      </c>
      <c r="BB33" s="31">
        <v>-7.2700000000000001E-2</v>
      </c>
      <c r="BC33" s="31">
        <v>-0.11210000000000001</v>
      </c>
      <c r="BD33" s="31">
        <v>-8.0100000000000005E-2</v>
      </c>
      <c r="BE33" s="31">
        <v>-3.6999999999999998E-2</v>
      </c>
      <c r="BF33" s="31">
        <v>-1.0800000000000001E-2</v>
      </c>
      <c r="BG33" s="31">
        <v>-0.17849999999999999</v>
      </c>
      <c r="BH33" s="31">
        <v>-4.8599999999999997E-2</v>
      </c>
      <c r="BI33" s="31">
        <v>-1.32E-2</v>
      </c>
      <c r="BJ33" s="9">
        <v>1.7299999999999999E-2</v>
      </c>
      <c r="BK33" s="31">
        <v>5.3400000000000003E-2</v>
      </c>
      <c r="BL33" s="31">
        <v>5.5899999999999998E-2</v>
      </c>
      <c r="BM33" s="31">
        <v>4.07E-2</v>
      </c>
      <c r="BN33" s="31">
        <v>1.2800000000000001E-2</v>
      </c>
      <c r="BO33" s="9">
        <v>-2.75E-2</v>
      </c>
    </row>
    <row r="34" spans="1:67" ht="15" customHeight="1" x14ac:dyDescent="0.2">
      <c r="A34" s="8">
        <v>32</v>
      </c>
      <c r="B34" s="30">
        <v>45870</v>
      </c>
      <c r="C34" s="33">
        <v>1.1599999999999999E-2</v>
      </c>
      <c r="D34" s="33">
        <v>-1.1000000000000001E-3</v>
      </c>
      <c r="E34" s="33">
        <v>1.1599999999999999E-2</v>
      </c>
      <c r="F34" s="33">
        <v>6.2799999999999995E-2</v>
      </c>
      <c r="G34" s="33">
        <v>-3.1399999999999997E-2</v>
      </c>
      <c r="H34" s="33">
        <v>1.1599999999999999E-2</v>
      </c>
      <c r="I34" s="33">
        <v>1.23E-2</v>
      </c>
      <c r="J34" s="33">
        <v>1.34E-2</v>
      </c>
      <c r="K34" s="33">
        <v>1.6899999999999998E-2</v>
      </c>
      <c r="L34" s="33">
        <v>9.9000000000000008E-3</v>
      </c>
      <c r="M34" s="33">
        <v>1.14E-2</v>
      </c>
      <c r="N34" s="33">
        <v>1.0699999999999999E-2</v>
      </c>
      <c r="O34" s="33">
        <v>1.23E-2</v>
      </c>
      <c r="P34" s="33">
        <v>1.12E-2</v>
      </c>
      <c r="Q34" s="33">
        <v>1.0500000000000001E-2</v>
      </c>
      <c r="R34" s="33">
        <v>1.2800000000000001E-2</v>
      </c>
      <c r="S34" s="33">
        <v>9.1999999999999998E-3</v>
      </c>
      <c r="T34" s="33">
        <v>6.7000000000000002E-3</v>
      </c>
      <c r="U34" s="33">
        <v>1.3599999999999999E-2</v>
      </c>
      <c r="V34" s="33">
        <v>1.24E-2</v>
      </c>
      <c r="W34" s="33">
        <v>1.2500000000000001E-2</v>
      </c>
      <c r="X34" s="33">
        <v>1.7500000000000002E-2</v>
      </c>
      <c r="Y34" s="33">
        <v>1.9E-2</v>
      </c>
      <c r="Z34" s="33">
        <v>1.1599999999999999E-2</v>
      </c>
      <c r="AA34" s="33">
        <v>1.8200000000000001E-2</v>
      </c>
      <c r="AB34" s="33">
        <v>1.49E-2</v>
      </c>
      <c r="AC34" s="33">
        <v>1.6199999999999999E-2</v>
      </c>
      <c r="AD34" s="33">
        <v>1.6199999999999999E-2</v>
      </c>
      <c r="AE34" s="33">
        <v>1.6199999999999999E-2</v>
      </c>
      <c r="AF34" s="33">
        <v>1.77E-2</v>
      </c>
      <c r="AG34" s="33">
        <v>2.18E-2</v>
      </c>
      <c r="AH34" s="33">
        <v>2.98E-2</v>
      </c>
      <c r="AI34" s="33">
        <v>2.0500000000000001E-2</v>
      </c>
      <c r="AJ34" s="33">
        <v>2.69E-2</v>
      </c>
      <c r="AK34" s="33">
        <v>2.3E-3</v>
      </c>
      <c r="AL34" s="33">
        <v>1.0800000000000001E-2</v>
      </c>
      <c r="AM34" s="33">
        <v>8.48E-2</v>
      </c>
      <c r="AN34" s="33">
        <v>2.75E-2</v>
      </c>
      <c r="AO34" s="33">
        <v>4.3700000000000003E-2</v>
      </c>
      <c r="AP34" s="33">
        <v>1.2E-2</v>
      </c>
      <c r="AQ34" s="33">
        <v>2.2200000000000001E-2</v>
      </c>
      <c r="AR34" s="33">
        <v>4.07E-2</v>
      </c>
      <c r="AS34" s="33">
        <v>2.5600000000000001E-2</v>
      </c>
      <c r="AT34" s="33">
        <v>6.5199999999999994E-2</v>
      </c>
      <c r="AU34" s="33">
        <v>8.4099999999999994E-2</v>
      </c>
      <c r="AV34" s="33">
        <v>6.3500000000000001E-2</v>
      </c>
      <c r="AW34" s="33">
        <v>5.16E-2</v>
      </c>
      <c r="AX34" s="33">
        <v>8.1500000000000003E-2</v>
      </c>
      <c r="AY34" s="33">
        <v>8.2600000000000007E-2</v>
      </c>
      <c r="AZ34" s="33">
        <v>3.3300000000000003E-2</v>
      </c>
      <c r="BA34" s="33">
        <v>9.6500000000000002E-2</v>
      </c>
      <c r="BB34" s="33">
        <v>8.8599999999999998E-2</v>
      </c>
      <c r="BC34" s="33">
        <v>0.13320000000000001</v>
      </c>
      <c r="BD34" s="33">
        <v>6.0600000000000001E-2</v>
      </c>
      <c r="BE34" s="33">
        <v>7.5600000000000001E-2</v>
      </c>
      <c r="BF34" s="33">
        <v>3.04E-2</v>
      </c>
      <c r="BG34" s="33">
        <v>0.128</v>
      </c>
      <c r="BH34" s="33">
        <v>8.3400000000000002E-2</v>
      </c>
      <c r="BI34" s="33">
        <v>8.3000000000000004E-2</v>
      </c>
      <c r="BJ34" s="9">
        <v>1.7399999999999999E-2</v>
      </c>
      <c r="BK34" s="31">
        <v>-1.0500000000000001E-2</v>
      </c>
      <c r="BL34" s="31">
        <v>-2.2599999999999999E-2</v>
      </c>
      <c r="BM34" s="31">
        <v>-4.0000000000000001E-3</v>
      </c>
      <c r="BN34" s="31">
        <v>1.1599999999999999E-2</v>
      </c>
      <c r="BO34" s="9">
        <v>5.4800000000000001E-2</v>
      </c>
    </row>
    <row r="35" spans="1:67" ht="15" customHeight="1" x14ac:dyDescent="0.2">
      <c r="A35" s="8">
        <v>33</v>
      </c>
      <c r="B35" s="30">
        <v>45901</v>
      </c>
      <c r="C35" s="31">
        <v>1.2200000000000001E-2</v>
      </c>
      <c r="D35" s="31">
        <v>4.7999999999999996E-3</v>
      </c>
      <c r="E35" s="31">
        <v>1.2200000000000001E-2</v>
      </c>
      <c r="F35" s="31">
        <v>3.4000000000000002E-2</v>
      </c>
      <c r="G35" s="31">
        <v>-1.9900000000000001E-2</v>
      </c>
      <c r="H35" s="31">
        <v>1.2200000000000001E-2</v>
      </c>
      <c r="I35" s="31">
        <v>1.1900000000000001E-2</v>
      </c>
      <c r="J35" s="31">
        <v>1.2699999999999999E-2</v>
      </c>
      <c r="K35" s="31">
        <v>2.1499999999999998E-2</v>
      </c>
      <c r="L35" s="31">
        <v>8.8999999999999999E-3</v>
      </c>
      <c r="M35" s="31">
        <v>8.6999999999999994E-3</v>
      </c>
      <c r="N35" s="31">
        <v>1.38E-2</v>
      </c>
      <c r="O35" s="31">
        <v>1.2800000000000001E-2</v>
      </c>
      <c r="P35" s="31">
        <v>1.17E-2</v>
      </c>
      <c r="Q35" s="31">
        <v>1.3599999999999999E-2</v>
      </c>
      <c r="R35" s="31">
        <v>9.2999999999999992E-3</v>
      </c>
      <c r="S35" s="31">
        <v>1.1299999999999999E-2</v>
      </c>
      <c r="T35" s="31">
        <v>1.0800000000000001E-2</v>
      </c>
      <c r="U35" s="31">
        <v>1.43E-2</v>
      </c>
      <c r="V35" s="31">
        <v>1.41E-2</v>
      </c>
      <c r="W35" s="31">
        <v>1.3899999999999999E-2</v>
      </c>
      <c r="X35" s="31">
        <v>1.67E-2</v>
      </c>
      <c r="Y35" s="31">
        <v>2.4199999999999999E-2</v>
      </c>
      <c r="Z35" s="31">
        <v>1.21E-2</v>
      </c>
      <c r="AA35" s="31">
        <v>3.2300000000000002E-2</v>
      </c>
      <c r="AB35" s="31">
        <v>2.1100000000000001E-2</v>
      </c>
      <c r="AC35" s="31">
        <v>2.2200000000000001E-2</v>
      </c>
      <c r="AD35" s="31">
        <v>1.2200000000000001E-2</v>
      </c>
      <c r="AE35" s="31">
        <v>4.1099999999999998E-2</v>
      </c>
      <c r="AF35" s="31">
        <v>7.3000000000000001E-3</v>
      </c>
      <c r="AG35" s="31">
        <v>6.4000000000000003E-3</v>
      </c>
      <c r="AH35" s="31">
        <v>1.5100000000000001E-2</v>
      </c>
      <c r="AI35" s="31">
        <v>8.9999999999999993E-3</v>
      </c>
      <c r="AJ35" s="31">
        <v>5.5999999999999999E-3</v>
      </c>
      <c r="AK35" s="31">
        <v>2.8199999999999999E-2</v>
      </c>
      <c r="AL35" s="31">
        <v>1.38E-2</v>
      </c>
      <c r="AM35" s="31">
        <v>3.6799999999999999E-2</v>
      </c>
      <c r="AN35" s="31">
        <v>1.61E-2</v>
      </c>
      <c r="AO35" s="31">
        <v>2.0199999999999999E-2</v>
      </c>
      <c r="AP35" s="31">
        <v>1.4800000000000001E-2</v>
      </c>
      <c r="AQ35" s="31">
        <v>1.9099999999999999E-2</v>
      </c>
      <c r="AR35" s="31">
        <v>3.7400000000000003E-2</v>
      </c>
      <c r="AS35" s="31">
        <v>2.4400000000000002E-2</v>
      </c>
      <c r="AT35" s="31">
        <v>3.1899999999999998E-2</v>
      </c>
      <c r="AU35" s="31">
        <v>2.4299999999999999E-2</v>
      </c>
      <c r="AV35" s="31">
        <v>3.8399999999999997E-2</v>
      </c>
      <c r="AW35" s="31">
        <v>2.5399999999999999E-2</v>
      </c>
      <c r="AX35" s="31">
        <v>3.6900000000000002E-2</v>
      </c>
      <c r="AY35" s="31">
        <v>3.7400000000000003E-2</v>
      </c>
      <c r="AZ35" s="31">
        <v>2.2100000000000002E-2</v>
      </c>
      <c r="BA35" s="31">
        <v>3.2599999999999997E-2</v>
      </c>
      <c r="BB35" s="31">
        <v>6.0999999999999999E-2</v>
      </c>
      <c r="BC35" s="31">
        <v>4.1200000000000001E-2</v>
      </c>
      <c r="BD35" s="31">
        <v>4.2700000000000002E-2</v>
      </c>
      <c r="BE35" s="31">
        <v>2.0799999999999999E-2</v>
      </c>
      <c r="BF35" s="31">
        <v>4.0000000000000001E-3</v>
      </c>
      <c r="BG35" s="31">
        <v>7.9399999999999998E-2</v>
      </c>
      <c r="BH35" s="31">
        <v>2.7400000000000001E-2</v>
      </c>
      <c r="BI35" s="31">
        <v>2.69E-2</v>
      </c>
      <c r="BJ35" s="9">
        <v>1.78E-2</v>
      </c>
      <c r="BK35" s="31">
        <v>1.5100000000000001E-2</v>
      </c>
      <c r="BL35" s="31">
        <v>3.44E-2</v>
      </c>
      <c r="BM35" s="31">
        <v>1.4800000000000001E-2</v>
      </c>
      <c r="BN35" s="31">
        <v>1.2200000000000001E-2</v>
      </c>
      <c r="BO35" s="9">
        <v>2.8000000000000001E-2</v>
      </c>
    </row>
    <row r="36" spans="1:67" ht="15" customHeight="1" x14ac:dyDescent="0.2">
      <c r="A36" s="8">
        <v>34</v>
      </c>
      <c r="B36" s="30">
        <v>45931</v>
      </c>
      <c r="C36" s="33">
        <v>1.2800000000000001E-2</v>
      </c>
      <c r="D36" s="33">
        <v>8.9999999999999998E-4</v>
      </c>
      <c r="E36" s="33">
        <v>1.2800000000000001E-2</v>
      </c>
      <c r="F36" s="33">
        <v>2.2599999999999999E-2</v>
      </c>
      <c r="G36" s="33">
        <v>1.24E-2</v>
      </c>
      <c r="H36" s="33">
        <v>1.2800000000000001E-2</v>
      </c>
      <c r="I36" s="33">
        <v>1.2800000000000001E-2</v>
      </c>
      <c r="J36" s="33">
        <v>1.3100000000000001E-2</v>
      </c>
      <c r="K36" s="33">
        <v>5.0000000000000001E-3</v>
      </c>
      <c r="L36" s="33">
        <v>1.14E-2</v>
      </c>
      <c r="M36" s="33">
        <v>9.2999999999999992E-3</v>
      </c>
      <c r="N36" s="33">
        <v>1.23E-2</v>
      </c>
      <c r="O36" s="33">
        <v>1.26E-2</v>
      </c>
      <c r="P36" s="33">
        <v>1.24E-2</v>
      </c>
      <c r="Q36" s="33">
        <v>1.04E-2</v>
      </c>
      <c r="R36" s="33">
        <v>1.1599999999999999E-2</v>
      </c>
      <c r="S36" s="33">
        <v>8.2000000000000007E-3</v>
      </c>
      <c r="T36" s="33">
        <v>1.04E-2</v>
      </c>
      <c r="U36" s="33">
        <v>1.49E-2</v>
      </c>
      <c r="V36" s="33">
        <v>1.2699999999999999E-2</v>
      </c>
      <c r="W36" s="33">
        <v>9.7000000000000003E-3</v>
      </c>
      <c r="X36" s="33">
        <v>7.7999999999999996E-3</v>
      </c>
      <c r="Y36" s="33">
        <v>-8.0000000000000002E-3</v>
      </c>
      <c r="Z36" s="33">
        <v>1.2699999999999999E-2</v>
      </c>
      <c r="AA36" s="33">
        <v>-3.3E-3</v>
      </c>
      <c r="AB36" s="33">
        <v>4.1000000000000003E-3</v>
      </c>
      <c r="AC36" s="33">
        <v>-4.7999999999999996E-3</v>
      </c>
      <c r="AD36" s="33">
        <v>1.3299999999999999E-2</v>
      </c>
      <c r="AE36" s="33">
        <v>1.2800000000000001E-2</v>
      </c>
      <c r="AF36" s="33">
        <v>4.7999999999999996E-3</v>
      </c>
      <c r="AG36" s="33">
        <v>2.7000000000000001E-3</v>
      </c>
      <c r="AH36" s="33">
        <v>2.1100000000000001E-2</v>
      </c>
      <c r="AI36" s="33">
        <v>5.3E-3</v>
      </c>
      <c r="AJ36" s="33">
        <v>1.6000000000000001E-3</v>
      </c>
      <c r="AK36" s="33">
        <v>2.1700000000000001E-2</v>
      </c>
      <c r="AL36" s="33">
        <v>1.24E-2</v>
      </c>
      <c r="AM36" s="33">
        <v>-7.4999999999999997E-3</v>
      </c>
      <c r="AN36" s="33">
        <v>2.1299999999999999E-2</v>
      </c>
      <c r="AO36" s="33">
        <v>3.0200000000000001E-2</v>
      </c>
      <c r="AP36" s="33">
        <v>1.66E-2</v>
      </c>
      <c r="AQ36" s="33">
        <v>1.3599999999999999E-2</v>
      </c>
      <c r="AR36" s="33">
        <v>9.8599999999999993E-2</v>
      </c>
      <c r="AS36" s="33">
        <v>5.3499999999999999E-2</v>
      </c>
      <c r="AT36" s="33">
        <v>1.2699999999999999E-2</v>
      </c>
      <c r="AU36" s="33">
        <v>-1.2699999999999999E-2</v>
      </c>
      <c r="AV36" s="33">
        <v>1.7100000000000001E-2</v>
      </c>
      <c r="AW36" s="33">
        <v>1.04E-2</v>
      </c>
      <c r="AX36" s="33">
        <v>-1E-3</v>
      </c>
      <c r="AY36" s="33">
        <v>2.9999999999999997E-4</v>
      </c>
      <c r="AZ36" s="33">
        <v>-1.4500000000000001E-2</v>
      </c>
      <c r="BA36" s="33">
        <v>3.32E-2</v>
      </c>
      <c r="BB36" s="33">
        <v>-6.7000000000000002E-3</v>
      </c>
      <c r="BC36" s="33">
        <v>1.1000000000000001E-3</v>
      </c>
      <c r="BD36" s="33">
        <v>-8.8999999999999999E-3</v>
      </c>
      <c r="BE36" s="33">
        <v>1.37E-2</v>
      </c>
      <c r="BF36" s="33">
        <v>6.8999999999999999E-3</v>
      </c>
      <c r="BG36" s="33">
        <v>-2.0400000000000001E-2</v>
      </c>
      <c r="BH36" s="33">
        <v>1.0699999999999999E-2</v>
      </c>
      <c r="BI36" s="33">
        <v>3.0499999999999999E-2</v>
      </c>
      <c r="BJ36" s="9">
        <v>2.5600000000000001E-2</v>
      </c>
      <c r="BK36" s="31">
        <v>3.3799999999999997E-2</v>
      </c>
      <c r="BL36" s="31">
        <v>5.6800000000000003E-2</v>
      </c>
      <c r="BM36" s="31">
        <v>3.0599999999999999E-2</v>
      </c>
      <c r="BN36" s="31">
        <v>1.2800000000000001E-2</v>
      </c>
      <c r="BO36" s="9">
        <v>1.7299999999999999E-2</v>
      </c>
    </row>
    <row r="37" spans="1:67" ht="15" customHeight="1" x14ac:dyDescent="0.2">
      <c r="A37" s="8">
        <v>35</v>
      </c>
      <c r="B37" s="30">
        <v>45962</v>
      </c>
      <c r="C37" s="31">
        <v>1.0500000000000001E-2</v>
      </c>
      <c r="D37" s="31">
        <v>1.8E-3</v>
      </c>
      <c r="E37" s="31">
        <v>1.0500000000000001E-2</v>
      </c>
      <c r="F37" s="31">
        <v>6.3700000000000007E-2</v>
      </c>
      <c r="G37" s="31">
        <v>-9.4000000000000004E-3</v>
      </c>
      <c r="H37" s="31">
        <v>1.0500000000000001E-2</v>
      </c>
      <c r="I37" s="31">
        <v>1.0500000000000001E-2</v>
      </c>
      <c r="J37" s="31">
        <v>1.1299999999999999E-2</v>
      </c>
      <c r="K37" s="31">
        <v>9.5999999999999992E-3</v>
      </c>
      <c r="L37" s="31">
        <v>1.2699999999999999E-2</v>
      </c>
      <c r="M37" s="31">
        <v>1.17E-2</v>
      </c>
      <c r="N37" s="31">
        <v>1.0200000000000001E-2</v>
      </c>
      <c r="O37" s="31">
        <v>1.0800000000000001E-2</v>
      </c>
      <c r="P37" s="31">
        <v>1.04E-2</v>
      </c>
      <c r="Q37" s="31">
        <v>1.34E-2</v>
      </c>
      <c r="R37" s="31">
        <v>1.23E-2</v>
      </c>
      <c r="S37" s="31">
        <v>9.7000000000000003E-3</v>
      </c>
      <c r="T37" s="31">
        <v>6.1999999999999998E-3</v>
      </c>
      <c r="U37" s="31">
        <v>1.2200000000000001E-2</v>
      </c>
      <c r="V37" s="31">
        <v>1.09E-2</v>
      </c>
      <c r="W37" s="31">
        <v>1.7100000000000001E-2</v>
      </c>
      <c r="X37" s="31">
        <v>1.8599999999999998E-2</v>
      </c>
      <c r="Y37" s="31">
        <v>8.2000000000000007E-3</v>
      </c>
      <c r="Z37" s="31">
        <v>1.0500000000000001E-2</v>
      </c>
      <c r="AA37" s="31">
        <v>8.8999999999999999E-3</v>
      </c>
      <c r="AB37" s="31">
        <v>8.6999999999999994E-3</v>
      </c>
      <c r="AC37" s="31">
        <v>1.9E-2</v>
      </c>
      <c r="AD37" s="31">
        <v>1.6299999999999999E-2</v>
      </c>
      <c r="AE37" s="31">
        <v>3.7100000000000001E-2</v>
      </c>
      <c r="AF37" s="31">
        <v>2E-3</v>
      </c>
      <c r="AG37" s="31">
        <v>-1.6000000000000001E-3</v>
      </c>
      <c r="AH37" s="31">
        <v>1.7600000000000001E-2</v>
      </c>
      <c r="AI37" s="31">
        <v>5.4000000000000003E-3</v>
      </c>
      <c r="AJ37" s="31">
        <v>-1.2999999999999999E-3</v>
      </c>
      <c r="AK37" s="31">
        <v>1.43E-2</v>
      </c>
      <c r="AL37" s="31">
        <v>1.03E-2</v>
      </c>
      <c r="AM37" s="31">
        <v>2.3300000000000001E-2</v>
      </c>
      <c r="AN37" s="31">
        <v>7.7999999999999996E-3</v>
      </c>
      <c r="AO37" s="31">
        <v>5.3E-3</v>
      </c>
      <c r="AP37" s="31">
        <v>7.0000000000000001E-3</v>
      </c>
      <c r="AQ37" s="31">
        <v>1.03E-2</v>
      </c>
      <c r="AR37" s="31">
        <v>-7.6600000000000001E-2</v>
      </c>
      <c r="AS37" s="31">
        <v>-3.1399999999999997E-2</v>
      </c>
      <c r="AT37" s="31">
        <v>4.0899999999999999E-2</v>
      </c>
      <c r="AU37" s="31">
        <v>5.7099999999999998E-2</v>
      </c>
      <c r="AV37" s="31">
        <v>0.06</v>
      </c>
      <c r="AW37" s="31">
        <v>3.5700000000000003E-2</v>
      </c>
      <c r="AX37" s="31">
        <v>3.1399999999999997E-2</v>
      </c>
      <c r="AY37" s="31">
        <v>3.27E-2</v>
      </c>
      <c r="AZ37" s="31">
        <v>1.34E-2</v>
      </c>
      <c r="BA37" s="31">
        <v>6.0699999999999997E-2</v>
      </c>
      <c r="BB37" s="31">
        <v>1.3299999999999999E-2</v>
      </c>
      <c r="BC37" s="31">
        <v>8.6599999999999996E-2</v>
      </c>
      <c r="BD37" s="31">
        <v>4.9099999999999998E-2</v>
      </c>
      <c r="BE37" s="31">
        <v>7.1199999999999999E-2</v>
      </c>
      <c r="BF37" s="31">
        <v>2.8400000000000002E-2</v>
      </c>
      <c r="BG37" s="31">
        <v>0.12429999999999999</v>
      </c>
      <c r="BH37" s="31">
        <v>1.72E-2</v>
      </c>
      <c r="BI37" s="31">
        <v>3.0700000000000002E-2</v>
      </c>
      <c r="BJ37" s="9">
        <v>1.3599999999999999E-2</v>
      </c>
      <c r="BK37" s="31">
        <v>-5.4000000000000003E-3</v>
      </c>
      <c r="BL37" s="31">
        <v>-2.2700000000000001E-2</v>
      </c>
      <c r="BM37" s="31">
        <v>-6.3E-3</v>
      </c>
      <c r="BN37" s="31">
        <v>1.0500000000000001E-2</v>
      </c>
      <c r="BO37" s="9">
        <v>5.3999999999999999E-2</v>
      </c>
    </row>
    <row r="38" spans="1:67" ht="15" customHeight="1" x14ac:dyDescent="0.2">
      <c r="A38" s="8">
        <v>36</v>
      </c>
      <c r="B38" s="30">
        <v>45992</v>
      </c>
      <c r="C38" s="33">
        <v>1.2200000000000001E-2</v>
      </c>
      <c r="D38" s="33">
        <v>3.3E-3</v>
      </c>
      <c r="E38" s="33">
        <v>1.2200000000000001E-2</v>
      </c>
      <c r="F38" s="33">
        <v>1.29E-2</v>
      </c>
      <c r="G38" s="33">
        <v>3.1600000000000003E-2</v>
      </c>
      <c r="H38" s="33">
        <v>1.2200000000000001E-2</v>
      </c>
      <c r="I38" s="33">
        <v>1.23E-2</v>
      </c>
      <c r="J38" s="33">
        <v>1.4200000000000001E-2</v>
      </c>
      <c r="K38" s="33">
        <v>8.8999999999999999E-3</v>
      </c>
      <c r="L38" s="33">
        <v>1.2200000000000001E-2</v>
      </c>
      <c r="M38" s="33">
        <v>1.24E-2</v>
      </c>
      <c r="N38" s="33">
        <v>1.2500000000000001E-2</v>
      </c>
      <c r="O38" s="33">
        <v>1.24E-2</v>
      </c>
      <c r="P38" s="33">
        <v>1.2699999999999999E-2</v>
      </c>
      <c r="Q38" s="33">
        <v>1.1299999999999999E-2</v>
      </c>
      <c r="R38" s="33">
        <v>1.06E-2</v>
      </c>
      <c r="S38" s="33">
        <v>7.9000000000000008E-3</v>
      </c>
      <c r="T38" s="33">
        <v>5.7000000000000002E-3</v>
      </c>
      <c r="U38" s="33">
        <v>1.4E-2</v>
      </c>
      <c r="V38" s="33">
        <v>1.2E-2</v>
      </c>
      <c r="W38" s="33">
        <v>1.5599999999999999E-2</v>
      </c>
      <c r="X38" s="33">
        <v>4.1999999999999997E-3</v>
      </c>
      <c r="Y38" s="33">
        <v>3.7000000000000002E-3</v>
      </c>
      <c r="Z38" s="33">
        <v>1.21E-2</v>
      </c>
      <c r="AA38" s="33">
        <v>8.8999999999999999E-3</v>
      </c>
      <c r="AB38" s="33">
        <v>8.3000000000000001E-3</v>
      </c>
      <c r="AC38" s="33">
        <v>2.0000000000000001E-4</v>
      </c>
      <c r="AD38" s="33">
        <v>2.7000000000000001E-3</v>
      </c>
      <c r="AE38" s="33">
        <v>1.4800000000000001E-2</v>
      </c>
      <c r="AF38" s="33">
        <v>7.7999999999999996E-3</v>
      </c>
      <c r="AG38" s="33">
        <v>5.4000000000000003E-3</v>
      </c>
      <c r="AH38" s="33">
        <v>-7.1999999999999998E-3</v>
      </c>
      <c r="AI38" s="33">
        <v>4.0899999999999999E-2</v>
      </c>
      <c r="AJ38" s="33">
        <v>6.6199999999999995E-2</v>
      </c>
      <c r="AK38" s="33">
        <v>9.9000000000000008E-3</v>
      </c>
      <c r="AL38" s="33">
        <v>1.2500000000000001E-2</v>
      </c>
      <c r="AM38" s="33">
        <v>-3.3300000000000003E-2</v>
      </c>
      <c r="AN38" s="33">
        <v>8.6E-3</v>
      </c>
      <c r="AO38" s="33">
        <v>5.1000000000000004E-3</v>
      </c>
      <c r="AP38" s="33">
        <v>1.0500000000000001E-2</v>
      </c>
      <c r="AQ38" s="33">
        <v>9.9000000000000008E-3</v>
      </c>
      <c r="AR38" s="33">
        <v>-2.8899999999999999E-2</v>
      </c>
      <c r="AS38" s="33">
        <v>-9.9000000000000008E-3</v>
      </c>
      <c r="AT38" s="33">
        <v>-1.6400000000000001E-2</v>
      </c>
      <c r="AU38" s="33">
        <v>-4.4200000000000003E-2</v>
      </c>
      <c r="AV38" s="33">
        <v>1.23E-2</v>
      </c>
      <c r="AW38" s="33">
        <v>-1.03E-2</v>
      </c>
      <c r="AX38" s="33">
        <v>-2.92E-2</v>
      </c>
      <c r="AY38" s="33">
        <v>-2.8199999999999999E-2</v>
      </c>
      <c r="AZ38" s="33">
        <v>-3.04E-2</v>
      </c>
      <c r="BA38" s="33">
        <v>-1.1999999999999999E-3</v>
      </c>
      <c r="BB38" s="33">
        <v>2.5600000000000001E-2</v>
      </c>
      <c r="BC38" s="33">
        <v>8.5699999999999998E-2</v>
      </c>
      <c r="BD38" s="33">
        <v>-1.17E-2</v>
      </c>
      <c r="BE38" s="33">
        <v>2.8999999999999998E-3</v>
      </c>
      <c r="BF38" s="33">
        <v>2.8999999999999998E-3</v>
      </c>
      <c r="BG38" s="33">
        <v>-0.10580000000000001</v>
      </c>
      <c r="BH38" s="33">
        <v>-2.3E-3</v>
      </c>
      <c r="BI38" s="33">
        <v>2.9399999999999999E-2</v>
      </c>
      <c r="BJ38" s="9">
        <v>9.1999999999999998E-3</v>
      </c>
      <c r="BK38" s="31">
        <v>3.1899999999999998E-2</v>
      </c>
      <c r="BL38" s="31">
        <v>2.75E-2</v>
      </c>
      <c r="BM38" s="31">
        <v>3.7900000000000003E-2</v>
      </c>
      <c r="BN38" s="31">
        <v>1.2200000000000001E-2</v>
      </c>
      <c r="BO38" s="9">
        <v>1.49E-2</v>
      </c>
    </row>
    <row r="39" spans="1:67" ht="15" customHeight="1" x14ac:dyDescent="0.2">
      <c r="A39" s="8">
        <v>37</v>
      </c>
      <c r="B39" s="30">
        <v>46023</v>
      </c>
      <c r="C39" s="31">
        <v>1.1599999999999999E-2</v>
      </c>
      <c r="D39" s="31">
        <v>3.3E-3</v>
      </c>
      <c r="E39" s="31">
        <v>1.1599999999999999E-2</v>
      </c>
      <c r="F39" s="31">
        <v>0.12559999999999999</v>
      </c>
      <c r="G39" s="31">
        <v>-4.9500000000000002E-2</v>
      </c>
      <c r="H39" s="31">
        <v>1.1599999999999999E-2</v>
      </c>
      <c r="I39" s="31">
        <v>1.2E-2</v>
      </c>
      <c r="J39" s="31">
        <v>1.2999999999999999E-2</v>
      </c>
      <c r="K39" s="31">
        <v>2.18E-2</v>
      </c>
      <c r="L39" s="31">
        <v>1.2800000000000001E-2</v>
      </c>
      <c r="M39" s="31">
        <v>1.2699999999999999E-2</v>
      </c>
      <c r="N39" s="31">
        <v>1.2200000000000001E-2</v>
      </c>
      <c r="O39" s="31">
        <v>1.2200000000000001E-2</v>
      </c>
      <c r="P39" s="31">
        <v>1.12E-2</v>
      </c>
      <c r="Q39" s="31">
        <v>1.2699999999999999E-2</v>
      </c>
      <c r="R39" s="31">
        <v>1.5699999999999999E-2</v>
      </c>
      <c r="S39" s="31">
        <v>1.4800000000000001E-2</v>
      </c>
      <c r="T39" s="31">
        <v>1.2999999999999999E-2</v>
      </c>
      <c r="U39" s="31">
        <v>1.35E-2</v>
      </c>
      <c r="V39" s="31">
        <v>1.34E-2</v>
      </c>
      <c r="W39" s="31">
        <v>1.38E-2</v>
      </c>
      <c r="X39" s="31">
        <v>1.9300000000000001E-2</v>
      </c>
      <c r="Y39" s="31">
        <v>3.3500000000000002E-2</v>
      </c>
      <c r="Z39" s="31">
        <v>1.17E-2</v>
      </c>
      <c r="AA39" s="31">
        <v>3.1899999999999998E-2</v>
      </c>
      <c r="AB39" s="31">
        <v>2.5000000000000001E-2</v>
      </c>
      <c r="AC39" s="31">
        <v>2.75E-2</v>
      </c>
      <c r="AD39" s="31">
        <v>1.9199999999999998E-2</v>
      </c>
      <c r="AE39" s="31">
        <v>3.09E-2</v>
      </c>
      <c r="AF39" s="31">
        <v>3.2000000000000002E-3</v>
      </c>
      <c r="AG39" s="31">
        <v>-4.0000000000000002E-4</v>
      </c>
      <c r="AH39" s="31">
        <v>5.2600000000000001E-2</v>
      </c>
      <c r="AI39" s="31">
        <v>2.41E-2</v>
      </c>
      <c r="AJ39" s="31">
        <v>3.2300000000000002E-2</v>
      </c>
      <c r="AK39" s="31">
        <v>1.9199999999999998E-2</v>
      </c>
      <c r="AL39" s="31">
        <v>1.2200000000000001E-2</v>
      </c>
      <c r="AM39" s="31">
        <v>9.7999999999999997E-3</v>
      </c>
      <c r="AN39" s="31">
        <v>1.8200000000000001E-2</v>
      </c>
      <c r="AO39" s="31">
        <v>2.5499999999999998E-2</v>
      </c>
      <c r="AP39" s="31">
        <v>1.83E-2</v>
      </c>
      <c r="AQ39" s="31">
        <v>3.1699999999999999E-2</v>
      </c>
      <c r="AR39" s="31">
        <v>-2.6599999999999999E-2</v>
      </c>
      <c r="AS39" s="31">
        <v>-7.7000000000000002E-3</v>
      </c>
      <c r="AT39" s="31">
        <v>5.21E-2</v>
      </c>
      <c r="AU39" s="31">
        <v>1.61E-2</v>
      </c>
      <c r="AV39" s="31">
        <v>0.1507</v>
      </c>
      <c r="AW39" s="31">
        <v>3.0700000000000002E-2</v>
      </c>
      <c r="AX39" s="31">
        <v>6.9500000000000006E-2</v>
      </c>
      <c r="AY39" s="31">
        <v>7.1400000000000005E-2</v>
      </c>
      <c r="AZ39" s="31">
        <v>5.3600000000000002E-2</v>
      </c>
      <c r="BA39" s="31">
        <v>6.4699999999999994E-2</v>
      </c>
      <c r="BB39" s="31">
        <v>5.6000000000000001E-2</v>
      </c>
      <c r="BC39" s="31">
        <v>6.08E-2</v>
      </c>
      <c r="BD39" s="31">
        <v>0.1502</v>
      </c>
      <c r="BE39" s="31">
        <v>7.2499999999999995E-2</v>
      </c>
      <c r="BF39" s="31">
        <v>-1.1999999999999999E-3</v>
      </c>
      <c r="BG39" s="31">
        <v>0.23250000000000001</v>
      </c>
      <c r="BH39" s="31">
        <v>6.0199999999999997E-2</v>
      </c>
      <c r="BI39" s="31">
        <v>0.05</v>
      </c>
      <c r="BJ39" s="9">
        <v>3.5999999999999997E-2</v>
      </c>
      <c r="BK39" s="31">
        <v>-3.1899999999999998E-2</v>
      </c>
      <c r="BL39" s="31">
        <v>-3.5499999999999997E-2</v>
      </c>
      <c r="BM39" s="31">
        <v>-1.4800000000000001E-2</v>
      </c>
      <c r="BN39" s="31">
        <v>1.1599999999999999E-2</v>
      </c>
      <c r="BO39" s="9">
        <v>0.104</v>
      </c>
    </row>
    <row r="40" spans="1:67" ht="15" customHeight="1" x14ac:dyDescent="0.2">
      <c r="A40" s="8">
        <v>38</v>
      </c>
      <c r="B40" s="30">
        <v>46054</v>
      </c>
      <c r="C40" s="33">
        <v>0.01</v>
      </c>
      <c r="D40" s="33">
        <v>7.0000000000000001E-3</v>
      </c>
      <c r="E40" s="33">
        <v>0.01</v>
      </c>
      <c r="F40" s="33">
        <v>4.0899999999999999E-2</v>
      </c>
      <c r="G40" s="33">
        <v>-1.54E-2</v>
      </c>
      <c r="H40" s="33">
        <v>0.01</v>
      </c>
      <c r="I40" s="33">
        <v>1.01E-2</v>
      </c>
      <c r="J40" s="33">
        <v>1.03E-2</v>
      </c>
      <c r="K40" s="33">
        <v>4.5999999999999999E-3</v>
      </c>
      <c r="L40" s="33">
        <v>8.2000000000000007E-3</v>
      </c>
      <c r="M40" s="33">
        <v>6.3E-3</v>
      </c>
      <c r="N40" s="33">
        <v>8.8999999999999999E-3</v>
      </c>
      <c r="O40" s="33">
        <v>0.01</v>
      </c>
      <c r="P40" s="33">
        <v>1.06E-2</v>
      </c>
      <c r="Q40" s="33">
        <v>7.6E-3</v>
      </c>
      <c r="R40" s="33">
        <v>8.3000000000000001E-3</v>
      </c>
      <c r="S40" s="33">
        <v>5.4999999999999997E-3</v>
      </c>
      <c r="T40" s="33">
        <v>2.5000000000000001E-3</v>
      </c>
      <c r="U40" s="33">
        <v>1.17E-2</v>
      </c>
      <c r="V40" s="33">
        <v>8.6999999999999994E-3</v>
      </c>
      <c r="W40" s="33">
        <v>7.7999999999999996E-3</v>
      </c>
      <c r="X40" s="33">
        <v>1.7100000000000001E-2</v>
      </c>
      <c r="Y40" s="33">
        <v>0</v>
      </c>
      <c r="Z40" s="33">
        <v>0.01</v>
      </c>
      <c r="AA40" s="33">
        <v>4.7999999999999996E-3</v>
      </c>
      <c r="AB40" s="33">
        <v>5.0000000000000001E-3</v>
      </c>
      <c r="AC40" s="33">
        <v>1.01E-2</v>
      </c>
      <c r="AD40" s="33">
        <v>9.2999999999999992E-3</v>
      </c>
      <c r="AE40" s="33">
        <v>1.5599999999999999E-2</v>
      </c>
      <c r="AF40" s="33">
        <v>1.8499999999999999E-2</v>
      </c>
      <c r="AG40" s="33">
        <v>2.23E-2</v>
      </c>
      <c r="AH40" s="33">
        <v>2.0400000000000001E-2</v>
      </c>
      <c r="AI40" s="33">
        <v>3.1399999999999997E-2</v>
      </c>
      <c r="AJ40" s="33">
        <v>4.7E-2</v>
      </c>
      <c r="AK40" s="33">
        <v>4.7000000000000002E-3</v>
      </c>
      <c r="AL40" s="33">
        <v>8.9999999999999993E-3</v>
      </c>
      <c r="AM40" s="33">
        <v>-4.0000000000000001E-3</v>
      </c>
      <c r="AN40" s="33">
        <v>2.0899999999999998E-2</v>
      </c>
      <c r="AO40" s="33">
        <v>3.1399999999999997E-2</v>
      </c>
      <c r="AP40" s="33">
        <v>2.1000000000000001E-2</v>
      </c>
      <c r="AQ40" s="33">
        <v>1.49E-2</v>
      </c>
      <c r="AR40" s="33">
        <v>-3.8300000000000001E-2</v>
      </c>
      <c r="AS40" s="33">
        <v>-1.52E-2</v>
      </c>
      <c r="AT40" s="33">
        <v>1.5699999999999999E-2</v>
      </c>
      <c r="AU40" s="33">
        <v>4.4000000000000003E-3</v>
      </c>
      <c r="AV40" s="33">
        <v>0.04</v>
      </c>
      <c r="AW40" s="33">
        <v>-2.8E-3</v>
      </c>
      <c r="AX40" s="33">
        <v>1.7500000000000002E-2</v>
      </c>
      <c r="AY40" s="33">
        <v>1.89E-2</v>
      </c>
      <c r="AZ40" s="33">
        <v>5.7299999999999997E-2</v>
      </c>
      <c r="BA40" s="33">
        <v>9.4999999999999998E-3</v>
      </c>
      <c r="BB40" s="33">
        <v>4.4299999999999999E-2</v>
      </c>
      <c r="BC40" s="33">
        <v>-5.0000000000000001E-4</v>
      </c>
      <c r="BD40" s="33">
        <v>6.0199999999999997E-2</v>
      </c>
      <c r="BE40" s="33">
        <v>5.0299999999999997E-2</v>
      </c>
      <c r="BF40" s="33">
        <v>-1.01E-2</v>
      </c>
      <c r="BG40" s="33">
        <v>4.19E-2</v>
      </c>
      <c r="BH40" s="33">
        <v>6.8999999999999999E-3</v>
      </c>
      <c r="BI40" s="33">
        <v>1.4800000000000001E-2</v>
      </c>
      <c r="BJ40" s="9">
        <v>1.9E-3</v>
      </c>
      <c r="BK40" s="31">
        <v>-3.3799999999999997E-2</v>
      </c>
      <c r="BL40" s="31">
        <v>-4.8500000000000001E-2</v>
      </c>
      <c r="BM40" s="31">
        <v>-1.0200000000000001E-2</v>
      </c>
      <c r="BN40" s="31">
        <v>0.01</v>
      </c>
      <c r="BO40" s="9">
        <v>4.58E-2</v>
      </c>
    </row>
    <row r="41" spans="1:67" ht="15" customHeight="1" x14ac:dyDescent="0.2">
      <c r="A41" s="8">
        <v>39</v>
      </c>
      <c r="B41" s="30">
        <v>46082</v>
      </c>
      <c r="C41" s="33">
        <v>1.21E-2</v>
      </c>
      <c r="D41" s="33">
        <v>7.1000000000000004E-3</v>
      </c>
      <c r="E41" s="33">
        <v>1.21E-2</v>
      </c>
      <c r="F41" s="33">
        <v>-7.0000000000000001E-3</v>
      </c>
      <c r="G41" s="33">
        <v>1.3599999999999999E-2</v>
      </c>
      <c r="H41" s="33">
        <v>1.1599999999999999E-2</v>
      </c>
      <c r="I41" s="33">
        <v>1.1599999999999999E-2</v>
      </c>
      <c r="J41" s="33">
        <v>1.26E-2</v>
      </c>
      <c r="K41" s="33">
        <v>5.0000000000000001E-4</v>
      </c>
      <c r="L41" s="33">
        <v>7.9000000000000008E-3</v>
      </c>
      <c r="M41" s="33">
        <v>-1.1999999999999999E-3</v>
      </c>
      <c r="N41" s="33">
        <v>6.6E-3</v>
      </c>
      <c r="O41" s="33">
        <v>1.06E-2</v>
      </c>
      <c r="P41" s="33">
        <v>1.1299999999999999E-2</v>
      </c>
      <c r="Q41" s="33">
        <v>5.8999999999999999E-3</v>
      </c>
      <c r="R41" s="33">
        <v>7.4999999999999997E-3</v>
      </c>
      <c r="S41" s="33">
        <v>-6.7999999999999996E-3</v>
      </c>
      <c r="T41" s="33">
        <v>-2.3199999999999998E-2</v>
      </c>
      <c r="U41" s="33">
        <v>1.3599999999999999E-2</v>
      </c>
      <c r="V41" s="33">
        <v>9.2999999999999992E-3</v>
      </c>
      <c r="W41" s="33">
        <v>1E-3</v>
      </c>
      <c r="X41" s="33">
        <v>-1.7100000000000001E-2</v>
      </c>
      <c r="Y41" s="33">
        <v>-1.67E-2</v>
      </c>
      <c r="Z41" s="33">
        <v>1.2500000000000001E-2</v>
      </c>
      <c r="AA41" s="33">
        <v>-4.0000000000000001E-3</v>
      </c>
      <c r="AB41" s="33">
        <v>-5.7000000000000002E-3</v>
      </c>
      <c r="AC41" s="33">
        <v>-1.35E-2</v>
      </c>
      <c r="AD41" s="33">
        <v>-6.4000000000000003E-3</v>
      </c>
      <c r="AE41" s="33">
        <v>-2.75E-2</v>
      </c>
      <c r="AF41" s="33">
        <v>-2.8199999999999999E-2</v>
      </c>
      <c r="AG41" s="33">
        <v>-4.7800000000000002E-2</v>
      </c>
      <c r="AH41" s="33">
        <v>-0.1072</v>
      </c>
      <c r="AI41" s="33">
        <v>-6.4199999999999993E-2</v>
      </c>
      <c r="AJ41" s="33">
        <v>-0.1198</v>
      </c>
      <c r="AK41" s="33">
        <v>-3.4200000000000001E-2</v>
      </c>
      <c r="AL41" s="33">
        <v>9.2999999999999992E-3</v>
      </c>
      <c r="AM41" s="33">
        <v>-0.16569999999999999</v>
      </c>
      <c r="AN41" s="33">
        <v>-5.4800000000000001E-2</v>
      </c>
      <c r="AO41" s="33">
        <v>-0.11899999999999999</v>
      </c>
      <c r="AP41" s="33">
        <v>-5.6500000000000002E-2</v>
      </c>
      <c r="AQ41" s="33">
        <v>-2E-3</v>
      </c>
      <c r="AR41" s="33">
        <v>-0.1065</v>
      </c>
      <c r="AS41" s="33">
        <v>-4.4600000000000001E-2</v>
      </c>
      <c r="AT41" s="33">
        <v>-3.3E-3</v>
      </c>
      <c r="AU41" s="33">
        <v>-3.7199999999999997E-2</v>
      </c>
      <c r="AV41" s="33">
        <v>-0.1139</v>
      </c>
      <c r="AW41" s="33">
        <v>-1.03E-2</v>
      </c>
      <c r="AX41" s="33">
        <v>-1.46E-2</v>
      </c>
      <c r="AY41" s="33">
        <v>-1.11E-2</v>
      </c>
      <c r="AZ41" s="33">
        <v>-2.5000000000000001E-2</v>
      </c>
      <c r="BA41" s="33">
        <v>2.2700000000000001E-2</v>
      </c>
      <c r="BB41" s="33">
        <v>-6.9999999999999999E-4</v>
      </c>
      <c r="BC41" s="33">
        <v>-7.7999999999999996E-3</v>
      </c>
      <c r="BD41" s="33">
        <v>-3.5999999999999997E-2</v>
      </c>
      <c r="BE41" s="33">
        <v>-5.28E-2</v>
      </c>
      <c r="BF41" s="33">
        <v>-6.3899999999999998E-2</v>
      </c>
      <c r="BG41" s="33">
        <v>-0.1153</v>
      </c>
      <c r="BH41" s="33">
        <v>-1.15E-2</v>
      </c>
      <c r="BI41" s="33">
        <v>-5.1000000000000004E-3</v>
      </c>
      <c r="BJ41" s="9">
        <v>-7.0499999999999993E-2</v>
      </c>
      <c r="BK41" s="31">
        <v>-4.1799999999999997E-2</v>
      </c>
      <c r="BL41" s="31">
        <v>-4.0399999999999998E-2</v>
      </c>
      <c r="BM41" s="31">
        <v>-5.2299999999999999E-2</v>
      </c>
      <c r="BN41" s="31">
        <v>1.1599999999999999E-2</v>
      </c>
      <c r="BO41" s="9">
        <v>4.5999999999999999E-3</v>
      </c>
    </row>
    <row r="42" spans="1:67" ht="15" customHeight="1" x14ac:dyDescent="0.2">
      <c r="A42" s="8">
        <v>40</v>
      </c>
      <c r="B42" s="30">
        <v>46113</v>
      </c>
      <c r="C42" s="33">
        <v>1.09E-2</v>
      </c>
      <c r="D42" s="33">
        <v>6.7000000000000002E-3</v>
      </c>
      <c r="E42" s="33">
        <v>1.09E-2</v>
      </c>
      <c r="F42" s="33">
        <v>-8.0000000000000004E-4</v>
      </c>
      <c r="G42" s="33">
        <v>-4.4200000000000003E-2</v>
      </c>
      <c r="H42" s="33">
        <v>1.09E-2</v>
      </c>
      <c r="I42" s="33">
        <v>1.0699999999999999E-2</v>
      </c>
      <c r="J42" s="33">
        <v>1.04E-2</v>
      </c>
      <c r="K42" s="33">
        <v>-2.7000000000000001E-3</v>
      </c>
      <c r="L42" s="33">
        <v>1.1299999999999999E-2</v>
      </c>
      <c r="M42" s="33">
        <v>1.0999999999999999E-2</v>
      </c>
      <c r="N42" s="33">
        <v>1.09E-2</v>
      </c>
      <c r="O42" s="33">
        <v>7.7999999999999996E-3</v>
      </c>
      <c r="P42" s="33">
        <v>1.14E-2</v>
      </c>
      <c r="Q42" s="33">
        <v>9.2999999999999992E-3</v>
      </c>
      <c r="R42" s="33">
        <v>1.1299999999999999E-2</v>
      </c>
      <c r="S42" s="33">
        <v>7.4000000000000003E-3</v>
      </c>
      <c r="T42" s="33">
        <v>1.6500000000000001E-2</v>
      </c>
      <c r="U42" s="33">
        <v>1.29E-2</v>
      </c>
      <c r="V42" s="33">
        <v>7.7999999999999996E-3</v>
      </c>
      <c r="W42" s="33">
        <v>1.2200000000000001E-2</v>
      </c>
      <c r="X42" s="33">
        <v>1.6500000000000001E-2</v>
      </c>
      <c r="Y42" s="33">
        <v>-1.0500000000000001E-2</v>
      </c>
      <c r="Z42" s="33">
        <v>1.06E-2</v>
      </c>
      <c r="AA42" s="33">
        <v>-1.0800000000000001E-2</v>
      </c>
      <c r="AB42" s="33">
        <v>-7.6E-3</v>
      </c>
      <c r="AC42" s="33">
        <v>-2.9999999999999997E-4</v>
      </c>
      <c r="AD42" s="33">
        <v>1.2E-2</v>
      </c>
      <c r="AE42" s="33">
        <v>-1.7399999999999999E-2</v>
      </c>
      <c r="AF42" s="33">
        <v>2.8500000000000001E-2</v>
      </c>
      <c r="AG42" s="33">
        <v>3.73E-2</v>
      </c>
      <c r="AH42" s="33">
        <v>2.07E-2</v>
      </c>
      <c r="AI42" s="33">
        <v>2.3400000000000001E-2</v>
      </c>
      <c r="AJ42" s="33">
        <v>3.1099999999999999E-2</v>
      </c>
      <c r="AK42" s="33">
        <v>3.7999999999999999E-2</v>
      </c>
      <c r="AL42" s="33">
        <v>1.09E-2</v>
      </c>
      <c r="AM42" s="33">
        <v>-1.3899999999999999E-2</v>
      </c>
      <c r="AN42" s="33">
        <v>1.52E-2</v>
      </c>
      <c r="AO42" s="33">
        <v>2.0899999999999998E-2</v>
      </c>
      <c r="AP42" s="33">
        <v>3.4500000000000003E-2</v>
      </c>
      <c r="AQ42" s="33">
        <v>2.9700000000000001E-2</v>
      </c>
      <c r="AR42" s="33">
        <v>-1.5599999999999999E-2</v>
      </c>
      <c r="AS42" s="33">
        <v>-4.0000000000000002E-4</v>
      </c>
      <c r="AT42" s="33">
        <v>1.1599999999999999E-2</v>
      </c>
      <c r="AU42" s="33">
        <v>-2.76E-2</v>
      </c>
      <c r="AV42" s="33">
        <v>9.74E-2</v>
      </c>
      <c r="AW42" s="33">
        <v>3.8100000000000002E-2</v>
      </c>
      <c r="AX42" s="33">
        <v>-1.35E-2</v>
      </c>
      <c r="AY42" s="33">
        <v>-1.26E-2</v>
      </c>
      <c r="AZ42" s="33">
        <v>-3.61E-2</v>
      </c>
      <c r="BA42" s="33">
        <v>7.0000000000000001E-3</v>
      </c>
      <c r="BB42" s="33">
        <v>1.8499999999999999E-2</v>
      </c>
      <c r="BC42" s="33">
        <v>1.8100000000000002E-2</v>
      </c>
      <c r="BD42" s="33">
        <v>-4.2799999999999998E-2</v>
      </c>
      <c r="BE42" s="33">
        <v>-4.2099999999999999E-2</v>
      </c>
      <c r="BF42" s="33">
        <v>6.1499999999999999E-2</v>
      </c>
      <c r="BG42" s="33">
        <v>-1.4500000000000001E-2</v>
      </c>
      <c r="BH42" s="33">
        <v>-2.8999999999999998E-3</v>
      </c>
      <c r="BI42" s="33">
        <v>1.66E-2</v>
      </c>
      <c r="BJ42" s="9">
        <v>0.1069</v>
      </c>
      <c r="BK42" s="31">
        <v>5.8799999999999998E-2</v>
      </c>
      <c r="BL42" s="31">
        <v>0.1057</v>
      </c>
      <c r="BM42" s="31">
        <v>4.3499999999999997E-2</v>
      </c>
      <c r="BN42" s="31">
        <v>1.09E-2</v>
      </c>
      <c r="BO42" s="9">
        <v>-1.6400000000000001E-2</v>
      </c>
    </row>
    <row r="43" spans="1:67" ht="15" customHeight="1" x14ac:dyDescent="0.2">
      <c r="A43" s="8">
        <v>41</v>
      </c>
      <c r="B43" s="30">
        <v>46143</v>
      </c>
      <c r="C43" s="33">
        <v>1.0699999999999999E-2</v>
      </c>
      <c r="D43" s="33">
        <v>5.0000000000000001E-3</v>
      </c>
      <c r="E43" s="33">
        <v>1.0699999999999999E-2</v>
      </c>
      <c r="F43" s="33">
        <v>-7.22E-2</v>
      </c>
      <c r="G43" s="33">
        <v>1.37E-2</v>
      </c>
      <c r="H43" s="33">
        <v>1.0699999999999999E-2</v>
      </c>
      <c r="I43" s="33">
        <v>1.09E-2</v>
      </c>
      <c r="J43" s="33">
        <v>1.0800000000000001E-2</v>
      </c>
      <c r="K43" s="33">
        <v>7.7000000000000002E-3</v>
      </c>
      <c r="L43" s="33">
        <v>1.6500000000000001E-2</v>
      </c>
      <c r="M43" s="33">
        <v>1.5599999999999999E-2</v>
      </c>
      <c r="N43" s="33">
        <v>1.44E-2</v>
      </c>
      <c r="O43" s="33">
        <v>1.3899999999999999E-2</v>
      </c>
      <c r="P43" s="33">
        <v>1.09E-2</v>
      </c>
      <c r="Q43" s="33">
        <v>1.55E-2</v>
      </c>
      <c r="R43" s="33">
        <v>1.5900000000000001E-2</v>
      </c>
      <c r="S43" s="33">
        <v>-3.3E-3</v>
      </c>
      <c r="T43" s="33">
        <v>-1.24E-2</v>
      </c>
      <c r="U43" s="33">
        <v>1.2800000000000001E-2</v>
      </c>
      <c r="V43" s="33">
        <v>1.55E-2</v>
      </c>
      <c r="W43" s="33">
        <v>1.61E-2</v>
      </c>
      <c r="X43" s="33">
        <v>8.8999999999999999E-3</v>
      </c>
      <c r="Y43" s="33">
        <v>5.5999999999999999E-3</v>
      </c>
      <c r="Z43" s="33">
        <v>1.0500000000000001E-2</v>
      </c>
      <c r="AA43" s="33">
        <v>6.4999999999999997E-3</v>
      </c>
      <c r="AB43" s="33">
        <v>9.1000000000000004E-3</v>
      </c>
      <c r="AC43" s="33">
        <v>8.0000000000000002E-3</v>
      </c>
      <c r="AD43" s="33">
        <v>6.4999999999999997E-3</v>
      </c>
      <c r="AE43" s="33">
        <v>1E-3</v>
      </c>
      <c r="AF43" s="33">
        <v>1.5900000000000001E-2</v>
      </c>
      <c r="AG43" s="33">
        <v>1.9400000000000001E-2</v>
      </c>
      <c r="AH43" s="33">
        <v>1.6299999999999999E-2</v>
      </c>
      <c r="AI43" s="33">
        <v>2.1000000000000001E-2</v>
      </c>
      <c r="AJ43" s="33">
        <v>2.8799999999999999E-2</v>
      </c>
      <c r="AK43" s="33">
        <v>4.5999999999999999E-3</v>
      </c>
      <c r="AL43" s="33">
        <v>1.4200000000000001E-2</v>
      </c>
      <c r="AM43" s="33">
        <v>-7.1000000000000004E-3</v>
      </c>
      <c r="AN43" s="33">
        <v>1.21E-2</v>
      </c>
      <c r="AO43" s="33">
        <v>1.5100000000000001E-2</v>
      </c>
      <c r="AP43" s="33">
        <v>1.7399999999999999E-2</v>
      </c>
      <c r="AQ43" s="33">
        <v>1.6000000000000001E-3</v>
      </c>
      <c r="AR43" s="33">
        <v>-8.0299999999999996E-2</v>
      </c>
      <c r="AS43" s="33">
        <v>-3.5099999999999999E-2</v>
      </c>
      <c r="AT43" s="33">
        <v>-4.8099999999999997E-2</v>
      </c>
      <c r="AU43" s="33">
        <v>-6.0100000000000001E-2</v>
      </c>
      <c r="AV43" s="33">
        <v>8.7300000000000003E-2</v>
      </c>
      <c r="AW43" s="33">
        <v>-4.4999999999999998E-2</v>
      </c>
      <c r="AX43" s="33">
        <v>-7.0099999999999996E-2</v>
      </c>
      <c r="AY43" s="33">
        <v>-6.9000000000000006E-2</v>
      </c>
      <c r="AZ43" s="33">
        <v>-6.7199999999999996E-2</v>
      </c>
      <c r="BA43" s="33">
        <v>-5.8599999999999999E-2</v>
      </c>
      <c r="BB43" s="33">
        <v>-3.5700000000000003E-2</v>
      </c>
      <c r="BC43" s="33">
        <v>-1.2E-2</v>
      </c>
      <c r="BD43" s="33">
        <v>-7.5899999999999995E-2</v>
      </c>
      <c r="BE43" s="33">
        <v>-5.0099999999999999E-2</v>
      </c>
      <c r="BF43" s="33">
        <v>2.8999999999999998E-3</v>
      </c>
      <c r="BG43" s="33">
        <v>-0.14810000000000001</v>
      </c>
      <c r="BH43" s="33">
        <v>-4.1200000000000001E-2</v>
      </c>
      <c r="BI43" s="33">
        <v>-2.18E-2</v>
      </c>
      <c r="BJ43" s="9">
        <v>5.1799999999999999E-2</v>
      </c>
      <c r="BK43" s="31">
        <v>6.93E-2</v>
      </c>
      <c r="BL43" s="31">
        <v>0.12520000000000001</v>
      </c>
      <c r="BM43" s="31">
        <v>6.4299999999999996E-2</v>
      </c>
      <c r="BN43" s="31">
        <v>1.0699999999999999E-2</v>
      </c>
      <c r="BO43" s="9">
        <v>-7.1999999999999995E-2</v>
      </c>
    </row>
    <row r="44" spans="1:67" ht="15" customHeight="1" x14ac:dyDescent="0.2">
      <c r="A44" s="8">
        <v>42</v>
      </c>
      <c r="B44" s="30">
        <v>46174</v>
      </c>
      <c r="C44" s="33">
        <v>1.12E-2</v>
      </c>
      <c r="D44" s="33">
        <v>4.1000000000000003E-3</v>
      </c>
      <c r="E44" s="33">
        <v>1.12E-2</v>
      </c>
      <c r="F44" s="33">
        <v>-1.01E-2</v>
      </c>
      <c r="G44" s="33">
        <v>2.3699999999999999E-2</v>
      </c>
      <c r="H44" s="33">
        <v>1.12E-2</v>
      </c>
      <c r="I44" s="33">
        <v>1.1599999999999999E-2</v>
      </c>
      <c r="J44" s="33">
        <v>1.03E-2</v>
      </c>
      <c r="K44" s="33">
        <v>1.3899999999999999E-2</v>
      </c>
      <c r="L44" s="33">
        <v>1.23E-2</v>
      </c>
      <c r="M44" s="33">
        <v>1.23E-2</v>
      </c>
      <c r="N44" s="33">
        <v>1.1900000000000001E-2</v>
      </c>
      <c r="O44" s="33">
        <v>1.21E-2</v>
      </c>
      <c r="P44" s="33">
        <v>9.9000000000000008E-3</v>
      </c>
      <c r="Q44" s="33">
        <v>1.0999999999999999E-2</v>
      </c>
      <c r="R44" s="33">
        <v>1.0699999999999999E-2</v>
      </c>
      <c r="S44" s="33">
        <v>1.1999999999999999E-3</v>
      </c>
      <c r="T44" s="33">
        <v>2.5000000000000001E-3</v>
      </c>
      <c r="U44" s="33">
        <v>1.32E-2</v>
      </c>
      <c r="V44" s="33">
        <v>1.2E-2</v>
      </c>
      <c r="W44" s="33">
        <v>1.35E-2</v>
      </c>
      <c r="X44" s="33">
        <v>1.7399999999999999E-2</v>
      </c>
      <c r="Y44" s="33">
        <v>-1.01E-2</v>
      </c>
      <c r="Z44" s="33">
        <v>1.0999999999999999E-2</v>
      </c>
      <c r="AA44" s="33">
        <v>1.7999999999999999E-2</v>
      </c>
      <c r="AB44" s="33">
        <v>2.0799999999999999E-2</v>
      </c>
      <c r="AC44" s="33">
        <v>-2.3999999999999998E-3</v>
      </c>
      <c r="AD44" s="33">
        <v>6.7999999999999996E-3</v>
      </c>
      <c r="AE44" s="33">
        <v>-5.8999999999999999E-3</v>
      </c>
      <c r="AF44" s="33">
        <v>-2.0000000000000001E-4</v>
      </c>
      <c r="AG44" s="33">
        <v>-7.1999999999999998E-3</v>
      </c>
      <c r="AH44" s="33">
        <v>3.7000000000000002E-3</v>
      </c>
      <c r="AI44" s="33">
        <v>-3.5999999999999999E-3</v>
      </c>
      <c r="AJ44" s="33">
        <v>-1.3899999999999999E-2</v>
      </c>
      <c r="AK44" s="33">
        <v>1.7399999999999999E-2</v>
      </c>
      <c r="AL44" s="33">
        <v>1.1900000000000001E-2</v>
      </c>
      <c r="AM44" s="33">
        <v>-3.7199999999999997E-2</v>
      </c>
      <c r="AN44" s="33">
        <v>2.2200000000000001E-2</v>
      </c>
      <c r="AO44" s="33">
        <v>3.3000000000000002E-2</v>
      </c>
      <c r="AP44" s="33">
        <v>7.3000000000000001E-3</v>
      </c>
      <c r="AQ44" s="33">
        <v>-9.4999999999999998E-3</v>
      </c>
      <c r="AR44" s="33">
        <v>-4.0800000000000003E-2</v>
      </c>
      <c r="AS44" s="33">
        <v>-1.9099999999999999E-2</v>
      </c>
      <c r="AT44" s="33">
        <v>1.6999999999999999E-3</v>
      </c>
      <c r="AU44" s="33">
        <v>-8.9999999999999998E-4</v>
      </c>
      <c r="AV44" s="33">
        <v>7.4000000000000003E-3</v>
      </c>
      <c r="AW44" s="33">
        <v>-7.4000000000000003E-3</v>
      </c>
      <c r="AX44" s="33">
        <v>-5.4999999999999997E-3</v>
      </c>
      <c r="AY44" s="33">
        <v>-5.0000000000000001E-3</v>
      </c>
      <c r="AZ44" s="33">
        <v>-4.8399999999999999E-2</v>
      </c>
      <c r="BA44" s="33">
        <v>-2.8999999999999998E-3</v>
      </c>
      <c r="BB44" s="33">
        <v>-1.06E-2</v>
      </c>
      <c r="BC44" s="33">
        <v>-3.5999999999999999E-3</v>
      </c>
      <c r="BD44" s="33">
        <v>1.9E-3</v>
      </c>
      <c r="BE44" s="33">
        <v>-4.6100000000000002E-2</v>
      </c>
      <c r="BF44" s="33">
        <v>-2.01E-2</v>
      </c>
      <c r="BG44" s="33">
        <v>-7.7399999999999997E-2</v>
      </c>
      <c r="BH44" s="33">
        <v>-5.3E-3</v>
      </c>
      <c r="BI44" s="33">
        <v>6.88E-2</v>
      </c>
      <c r="BJ44" s="9">
        <v>-2.0000000000000001E-4</v>
      </c>
      <c r="BK44" s="31">
        <v>1.2200000000000001E-2</v>
      </c>
      <c r="BL44" s="31">
        <v>2.3E-2</v>
      </c>
      <c r="BM44" s="31">
        <v>1.9800000000000002E-2</v>
      </c>
      <c r="BN44" s="31">
        <v>1.12E-2</v>
      </c>
      <c r="BO44" s="49">
        <v>1.23E-2</v>
      </c>
    </row>
    <row r="45" spans="1:67" ht="15" customHeight="1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9">
        <v>-2.9100000000000001E-2</v>
      </c>
      <c r="BN45" s="9"/>
    </row>
    <row r="46" spans="1:67" ht="15.75" customHeight="1" x14ac:dyDescent="0.2">
      <c r="AZ46" s="38"/>
      <c r="BA46" s="38"/>
      <c r="BB46" s="38"/>
      <c r="BC46" s="38"/>
      <c r="BK46"/>
      <c r="BL46"/>
      <c r="BM46"/>
    </row>
    <row r="47" spans="1:67" ht="15.75" customHeight="1" x14ac:dyDescent="0.2">
      <c r="A47" s="20" t="s">
        <v>66</v>
      </c>
      <c r="B47" s="41" t="s">
        <v>67</v>
      </c>
      <c r="C47" s="41" t="s">
        <v>70</v>
      </c>
      <c r="D47" s="41" t="s">
        <v>69</v>
      </c>
      <c r="E47" s="41" t="s">
        <v>68</v>
      </c>
      <c r="F47" s="41" t="s">
        <v>73</v>
      </c>
      <c r="G47" s="41" t="s">
        <v>72</v>
      </c>
      <c r="H47" s="41" t="s">
        <v>71</v>
      </c>
      <c r="I47" s="41" t="s">
        <v>136</v>
      </c>
      <c r="J47" s="41" t="s">
        <v>191</v>
      </c>
      <c r="K47" s="43" t="s">
        <v>75</v>
      </c>
      <c r="L47" s="41" t="s">
        <v>193</v>
      </c>
      <c r="AW47" s="38"/>
      <c r="AX47" s="38"/>
      <c r="AY47" s="38"/>
      <c r="AZ47" s="38"/>
      <c r="BK47"/>
      <c r="BL47"/>
      <c r="BM47"/>
      <c r="BN47"/>
    </row>
    <row r="48" spans="1:67" ht="15.75" customHeight="1" x14ac:dyDescent="0.2">
      <c r="A48" s="21" t="s">
        <v>40</v>
      </c>
      <c r="B48" s="42">
        <v>1.0192857142857142E-2</v>
      </c>
      <c r="C48" s="42">
        <v>1.0136111111111111E-2</v>
      </c>
      <c r="D48" s="42">
        <v>1.0574999999999999E-2</v>
      </c>
      <c r="E48" s="42">
        <v>1.1549999999999998E-2</v>
      </c>
      <c r="F48" s="9">
        <f t="shared" ref="F48:F79" si="0">C48/$C$48</f>
        <v>1</v>
      </c>
      <c r="G48" s="9">
        <f t="shared" ref="G48:G79" si="1">D48/$D$48</f>
        <v>1</v>
      </c>
      <c r="H48" s="9">
        <f t="shared" ref="H48:H79" si="2">E48/$E$48</f>
        <v>1</v>
      </c>
      <c r="I48">
        <v>1</v>
      </c>
      <c r="J48" t="s">
        <v>77</v>
      </c>
      <c r="K48" s="8" t="s">
        <v>78</v>
      </c>
      <c r="L48" s="9">
        <f t="shared" ref="L48:L79" si="3">AVERAGE(F48:H48)</f>
        <v>1</v>
      </c>
      <c r="AW48" s="38"/>
      <c r="AX48" s="38"/>
      <c r="AY48" s="38"/>
      <c r="AZ48" s="38"/>
      <c r="BK48"/>
      <c r="BL48"/>
      <c r="BM48"/>
      <c r="BN48"/>
    </row>
    <row r="49" spans="1:66" ht="15.75" customHeight="1" x14ac:dyDescent="0.2">
      <c r="A49" s="21" t="s">
        <v>80</v>
      </c>
      <c r="B49" s="42">
        <v>3.9928571428571435E-3</v>
      </c>
      <c r="C49" s="42">
        <v>3.869444444444444E-3</v>
      </c>
      <c r="D49" s="42">
        <v>4.0750000000000005E-3</v>
      </c>
      <c r="E49" s="42">
        <v>3.7916666666666658E-3</v>
      </c>
      <c r="F49" s="9">
        <f t="shared" si="0"/>
        <v>0.38174842422581523</v>
      </c>
      <c r="G49" s="9">
        <f t="shared" si="1"/>
        <v>0.3853427895981088</v>
      </c>
      <c r="H49" s="9">
        <f t="shared" si="2"/>
        <v>0.32828282828282829</v>
      </c>
      <c r="I49">
        <v>2</v>
      </c>
      <c r="J49" t="s">
        <v>77</v>
      </c>
      <c r="K49" s="8" t="s">
        <v>78</v>
      </c>
      <c r="L49" s="9">
        <f t="shared" si="3"/>
        <v>0.36512468070225079</v>
      </c>
      <c r="AW49" s="38"/>
      <c r="AX49" s="38"/>
      <c r="AY49" s="38"/>
      <c r="AZ49" s="38"/>
      <c r="BK49"/>
      <c r="BL49"/>
      <c r="BM49"/>
      <c r="BN49"/>
    </row>
    <row r="50" spans="1:66" ht="15.75" customHeight="1" x14ac:dyDescent="0.2">
      <c r="A50" s="21" t="s">
        <v>81</v>
      </c>
      <c r="B50" s="42">
        <v>1.0192857142857142E-2</v>
      </c>
      <c r="C50" s="42">
        <v>1.0136111111111111E-2</v>
      </c>
      <c r="D50" s="42">
        <v>1.0579166666666666E-2</v>
      </c>
      <c r="E50" s="42">
        <v>1.1549999999999998E-2</v>
      </c>
      <c r="F50" s="9">
        <f t="shared" si="0"/>
        <v>1</v>
      </c>
      <c r="G50" s="9">
        <f t="shared" si="1"/>
        <v>1.0003940110323088</v>
      </c>
      <c r="H50" s="9">
        <f t="shared" si="2"/>
        <v>1</v>
      </c>
      <c r="I50">
        <v>3</v>
      </c>
      <c r="J50" t="s">
        <v>77</v>
      </c>
      <c r="K50" s="8" t="s">
        <v>78</v>
      </c>
      <c r="L50" s="9">
        <f t="shared" si="3"/>
        <v>1.0001313370107696</v>
      </c>
      <c r="AW50" s="38"/>
      <c r="AX50" s="38"/>
      <c r="AY50" s="38"/>
      <c r="AZ50" s="38"/>
      <c r="BK50"/>
      <c r="BL50"/>
      <c r="BM50"/>
      <c r="BN50"/>
    </row>
    <row r="51" spans="1:66" ht="15.75" customHeight="1" x14ac:dyDescent="0.2">
      <c r="A51" s="21" t="s">
        <v>82</v>
      </c>
      <c r="B51" s="42">
        <v>1.1816666666666668E-2</v>
      </c>
      <c r="C51" s="42">
        <v>1.1505555555555557E-2</v>
      </c>
      <c r="D51" s="42">
        <v>1.4716666666666668E-2</v>
      </c>
      <c r="E51" s="42">
        <v>1.9224999999999996E-2</v>
      </c>
      <c r="F51" s="9">
        <f t="shared" si="0"/>
        <v>1.1351055083584545</v>
      </c>
      <c r="G51" s="9">
        <f t="shared" si="1"/>
        <v>1.3916469661150515</v>
      </c>
      <c r="H51" s="9">
        <f t="shared" si="2"/>
        <v>1.6645021645021645</v>
      </c>
      <c r="I51">
        <v>4</v>
      </c>
      <c r="J51" t="s">
        <v>77</v>
      </c>
      <c r="K51" s="8" t="s">
        <v>78</v>
      </c>
      <c r="L51" s="9">
        <f t="shared" si="3"/>
        <v>1.3970848796585569</v>
      </c>
      <c r="AW51" s="38"/>
      <c r="AX51" s="38"/>
      <c r="AY51" s="38"/>
      <c r="AZ51" s="38"/>
      <c r="BK51"/>
      <c r="BL51"/>
      <c r="BM51"/>
      <c r="BN51"/>
    </row>
    <row r="52" spans="1:66" ht="15.75" customHeight="1" x14ac:dyDescent="0.2">
      <c r="A52" s="21" t="s">
        <v>83</v>
      </c>
      <c r="B52" s="42">
        <v>2.4999999999999995E-4</v>
      </c>
      <c r="C52" s="42">
        <v>2.42777777777778E-3</v>
      </c>
      <c r="D52" s="42">
        <v>-2.4833333333333335E-3</v>
      </c>
      <c r="E52" s="42">
        <v>-4.0166666666666658E-3</v>
      </c>
      <c r="F52" s="9">
        <f t="shared" si="0"/>
        <v>0.23951767607563737</v>
      </c>
      <c r="G52" s="9">
        <f t="shared" si="1"/>
        <v>-0.2348305752561072</v>
      </c>
      <c r="H52" s="9">
        <f t="shared" si="2"/>
        <v>-0.34776334776334777</v>
      </c>
      <c r="I52">
        <v>5</v>
      </c>
      <c r="J52" t="s">
        <v>77</v>
      </c>
      <c r="K52" s="8" t="s">
        <v>78</v>
      </c>
      <c r="L52" s="9">
        <f t="shared" si="3"/>
        <v>-0.11435874898127253</v>
      </c>
      <c r="AW52" s="38"/>
      <c r="AX52" s="38"/>
      <c r="AY52" s="38"/>
      <c r="AZ52" s="38"/>
      <c r="BK52"/>
      <c r="BL52"/>
      <c r="BM52"/>
      <c r="BN52"/>
    </row>
    <row r="53" spans="1:66" ht="15.75" customHeight="1" x14ac:dyDescent="0.2">
      <c r="A53" s="27" t="s">
        <v>24</v>
      </c>
      <c r="B53" s="42">
        <v>1.0169047619047619E-2</v>
      </c>
      <c r="C53" s="42">
        <v>1.0108333333333332E-2</v>
      </c>
      <c r="D53" s="42">
        <v>1.0537499999999998E-2</v>
      </c>
      <c r="E53" s="42">
        <v>1.150833333333333E-2</v>
      </c>
      <c r="F53" s="9">
        <f t="shared" si="0"/>
        <v>0.99725952315702915</v>
      </c>
      <c r="G53" s="9">
        <f t="shared" si="1"/>
        <v>0.9964539007092198</v>
      </c>
      <c r="H53" s="9">
        <f t="shared" si="2"/>
        <v>0.99639249639249639</v>
      </c>
      <c r="I53">
        <v>6</v>
      </c>
      <c r="J53" t="s">
        <v>84</v>
      </c>
      <c r="K53" s="8" t="s">
        <v>78</v>
      </c>
      <c r="L53" s="9">
        <f t="shared" si="3"/>
        <v>0.99670197341958178</v>
      </c>
      <c r="AW53" s="38"/>
      <c r="AX53" s="38"/>
      <c r="AY53" s="38"/>
      <c r="AZ53" s="38"/>
      <c r="BK53"/>
      <c r="BL53"/>
      <c r="BM53"/>
      <c r="BN53"/>
    </row>
    <row r="54" spans="1:66" ht="15.75" customHeight="1" x14ac:dyDescent="0.2">
      <c r="A54" s="27" t="s">
        <v>192</v>
      </c>
      <c r="B54" s="42">
        <v>1.0823809523809525E-2</v>
      </c>
      <c r="C54" s="42">
        <v>1.0872222222222222E-2</v>
      </c>
      <c r="D54" s="42">
        <v>1.1020833333333334E-2</v>
      </c>
      <c r="E54" s="42">
        <v>1.1691666666666668E-2</v>
      </c>
      <c r="F54" s="9">
        <f t="shared" si="0"/>
        <v>1.072622636338723</v>
      </c>
      <c r="G54" s="9">
        <f t="shared" si="1"/>
        <v>1.0421591804570529</v>
      </c>
      <c r="H54" s="9">
        <f t="shared" si="2"/>
        <v>1.0122655122655126</v>
      </c>
      <c r="I54">
        <v>7</v>
      </c>
      <c r="J54" t="s">
        <v>84</v>
      </c>
      <c r="K54" s="8" t="s">
        <v>78</v>
      </c>
      <c r="L54" s="9">
        <f t="shared" si="3"/>
        <v>1.0423491096870963</v>
      </c>
      <c r="AW54" s="38"/>
      <c r="AX54" s="38"/>
      <c r="AY54" s="38"/>
      <c r="AZ54" s="38"/>
      <c r="BK54"/>
      <c r="BL54"/>
      <c r="BM54"/>
      <c r="BN54"/>
    </row>
    <row r="55" spans="1:66" ht="15.75" customHeight="1" x14ac:dyDescent="0.2">
      <c r="A55" s="23" t="s">
        <v>50</v>
      </c>
      <c r="B55" s="42">
        <v>1.1297619047619044E-2</v>
      </c>
      <c r="C55" s="42">
        <v>1.1199999999999998E-2</v>
      </c>
      <c r="D55" s="42">
        <v>1.1570833333333331E-2</v>
      </c>
      <c r="E55" s="42">
        <v>1.2225000000000001E-2</v>
      </c>
      <c r="F55" s="9">
        <f t="shared" si="0"/>
        <v>1.1049602630857767</v>
      </c>
      <c r="G55" s="9">
        <f t="shared" si="1"/>
        <v>1.094168636721828</v>
      </c>
      <c r="H55" s="9">
        <f t="shared" si="2"/>
        <v>1.0584415584415587</v>
      </c>
      <c r="I55">
        <v>8</v>
      </c>
      <c r="J55" t="s">
        <v>84</v>
      </c>
      <c r="K55" s="8" t="s">
        <v>85</v>
      </c>
      <c r="L55" s="9">
        <f t="shared" si="3"/>
        <v>1.0858568194163878</v>
      </c>
      <c r="AW55" s="38"/>
      <c r="AX55" s="38"/>
      <c r="AY55" s="38"/>
      <c r="AZ55" s="38"/>
      <c r="BK55"/>
      <c r="BL55"/>
      <c r="BM55"/>
      <c r="BN55"/>
    </row>
    <row r="56" spans="1:66" ht="15.75" customHeight="1" x14ac:dyDescent="0.2">
      <c r="A56" s="23" t="s">
        <v>88</v>
      </c>
      <c r="B56" s="42">
        <v>1.1061904761904764E-2</v>
      </c>
      <c r="C56" s="42">
        <v>1.106388888888889E-2</v>
      </c>
      <c r="D56" s="42">
        <v>1.0175E-2</v>
      </c>
      <c r="E56" s="42">
        <v>1.0066666666666666E-2</v>
      </c>
      <c r="F56" s="9">
        <f t="shared" si="0"/>
        <v>1.0915319265552208</v>
      </c>
      <c r="G56" s="9">
        <f t="shared" si="1"/>
        <v>0.96217494089834521</v>
      </c>
      <c r="H56" s="9">
        <f t="shared" si="2"/>
        <v>0.87157287157287178</v>
      </c>
      <c r="I56">
        <v>9</v>
      </c>
      <c r="J56" t="s">
        <v>84</v>
      </c>
      <c r="K56" s="8" t="s">
        <v>78</v>
      </c>
      <c r="L56" s="9">
        <f t="shared" si="3"/>
        <v>0.97509324634214589</v>
      </c>
      <c r="AW56" s="38"/>
      <c r="AX56" s="38"/>
      <c r="AY56" s="38"/>
      <c r="AZ56" s="38"/>
      <c r="BK56"/>
      <c r="BL56"/>
      <c r="BM56"/>
      <c r="BN56"/>
    </row>
    <row r="57" spans="1:66" ht="15.75" customHeight="1" x14ac:dyDescent="0.2">
      <c r="A57" s="23" t="s">
        <v>89</v>
      </c>
      <c r="B57" s="42">
        <v>1.0680952380952383E-2</v>
      </c>
      <c r="C57" s="42">
        <v>1.1099999999999999E-2</v>
      </c>
      <c r="D57" s="42">
        <v>1.0866666666666665E-2</v>
      </c>
      <c r="E57" s="42">
        <v>1.1475000000000001E-2</v>
      </c>
      <c r="F57" s="9">
        <f t="shared" si="0"/>
        <v>1.0950945464510824</v>
      </c>
      <c r="G57" s="9">
        <f t="shared" si="1"/>
        <v>1.0275807722616233</v>
      </c>
      <c r="H57" s="9">
        <f t="shared" si="2"/>
        <v>0.99350649350649378</v>
      </c>
      <c r="I57">
        <v>10</v>
      </c>
      <c r="J57" t="s">
        <v>84</v>
      </c>
      <c r="K57" s="8" t="s">
        <v>78</v>
      </c>
      <c r="L57" s="9">
        <f t="shared" si="3"/>
        <v>1.0387272707397333</v>
      </c>
      <c r="AW57" s="38"/>
      <c r="AX57" s="38"/>
      <c r="AY57" s="38"/>
      <c r="AZ57" s="38"/>
      <c r="BK57"/>
      <c r="BL57"/>
      <c r="BM57"/>
      <c r="BN57"/>
    </row>
    <row r="58" spans="1:66" ht="15.75" customHeight="1" x14ac:dyDescent="0.2">
      <c r="A58" s="23" t="s">
        <v>90</v>
      </c>
      <c r="B58" s="42">
        <v>1.0404761904761903E-2</v>
      </c>
      <c r="C58" s="42">
        <v>1.0980555555555554E-2</v>
      </c>
      <c r="D58" s="42">
        <v>1.0441666666666663E-2</v>
      </c>
      <c r="E58" s="42">
        <v>1.0333333333333333E-2</v>
      </c>
      <c r="F58" s="9">
        <f t="shared" si="0"/>
        <v>1.0833104960263085</v>
      </c>
      <c r="G58" s="9">
        <f t="shared" si="1"/>
        <v>0.98739164696611481</v>
      </c>
      <c r="H58" s="9">
        <f t="shared" si="2"/>
        <v>0.89466089466089482</v>
      </c>
      <c r="I58">
        <v>11</v>
      </c>
      <c r="J58" t="s">
        <v>84</v>
      </c>
      <c r="K58" s="8" t="s">
        <v>78</v>
      </c>
      <c r="L58" s="9">
        <f t="shared" si="3"/>
        <v>0.98845434588443926</v>
      </c>
      <c r="AW58" s="38"/>
      <c r="AX58" s="38"/>
      <c r="AY58" s="38"/>
      <c r="AZ58" s="38"/>
      <c r="BK58"/>
      <c r="BL58"/>
      <c r="BM58"/>
      <c r="BN58"/>
    </row>
    <row r="59" spans="1:66" ht="15.75" customHeight="1" x14ac:dyDescent="0.2">
      <c r="A59" s="23" t="s">
        <v>91</v>
      </c>
      <c r="B59" s="42">
        <v>1.1157142857142857E-2</v>
      </c>
      <c r="C59" s="42">
        <v>1.1205555555555557E-2</v>
      </c>
      <c r="D59" s="42">
        <v>1.1054166666666669E-2</v>
      </c>
      <c r="E59" s="42">
        <v>1.1533333333333333E-2</v>
      </c>
      <c r="F59" s="9">
        <f t="shared" si="0"/>
        <v>1.1055083584543712</v>
      </c>
      <c r="G59" s="9">
        <f t="shared" si="1"/>
        <v>1.0453112687155244</v>
      </c>
      <c r="H59" s="9">
        <f t="shared" si="2"/>
        <v>0.99855699855699875</v>
      </c>
      <c r="I59">
        <v>12</v>
      </c>
      <c r="J59" t="s">
        <v>84</v>
      </c>
      <c r="K59" s="8" t="s">
        <v>85</v>
      </c>
      <c r="L59" s="9">
        <f t="shared" si="3"/>
        <v>1.0497922085756315</v>
      </c>
      <c r="AW59" s="38"/>
      <c r="AX59" s="38"/>
      <c r="AY59" s="38"/>
      <c r="AZ59" s="38"/>
      <c r="BK59"/>
      <c r="BL59"/>
      <c r="BM59"/>
      <c r="BN59"/>
    </row>
    <row r="60" spans="1:66" ht="15.75" customHeight="1" x14ac:dyDescent="0.2">
      <c r="A60" s="23" t="s">
        <v>8</v>
      </c>
      <c r="B60" s="42">
        <v>1.0788095238095234E-2</v>
      </c>
      <c r="C60" s="42">
        <v>1.0786111111111109E-2</v>
      </c>
      <c r="D60" s="42">
        <v>1.0987500000000002E-2</v>
      </c>
      <c r="E60" s="42">
        <v>1.1733333333333332E-2</v>
      </c>
      <c r="F60" s="9">
        <f t="shared" si="0"/>
        <v>1.0641271581255136</v>
      </c>
      <c r="G60" s="9">
        <f t="shared" si="1"/>
        <v>1.0390070921985819</v>
      </c>
      <c r="H60" s="9">
        <f t="shared" si="2"/>
        <v>1.015873015873016</v>
      </c>
      <c r="I60">
        <v>13</v>
      </c>
      <c r="J60" t="s">
        <v>84</v>
      </c>
      <c r="K60" s="8" t="s">
        <v>78</v>
      </c>
      <c r="L60" s="9">
        <f t="shared" si="3"/>
        <v>1.0396690887323705</v>
      </c>
      <c r="AW60" s="38"/>
      <c r="AX60" s="38"/>
      <c r="AY60" s="38"/>
      <c r="AZ60" s="38"/>
      <c r="BK60"/>
      <c r="BL60"/>
      <c r="BM60"/>
      <c r="BN60"/>
    </row>
    <row r="61" spans="1:66" ht="15.75" customHeight="1" x14ac:dyDescent="0.2">
      <c r="A61" s="23" t="s">
        <v>92</v>
      </c>
      <c r="B61" s="42">
        <v>1.0338095238095238E-2</v>
      </c>
      <c r="C61" s="42">
        <v>1.0033333333333332E-2</v>
      </c>
      <c r="D61" s="42">
        <v>1.0412499999999996E-2</v>
      </c>
      <c r="E61" s="42">
        <v>1.1316666666666668E-2</v>
      </c>
      <c r="F61" s="9">
        <f t="shared" si="0"/>
        <v>0.98986023568100834</v>
      </c>
      <c r="G61" s="9">
        <f t="shared" si="1"/>
        <v>0.98463356973995242</v>
      </c>
      <c r="H61" s="9">
        <f t="shared" si="2"/>
        <v>0.97979797979798011</v>
      </c>
      <c r="I61">
        <v>14</v>
      </c>
      <c r="J61" t="s">
        <v>84</v>
      </c>
      <c r="K61" s="8" t="s">
        <v>78</v>
      </c>
      <c r="L61" s="9">
        <f t="shared" si="3"/>
        <v>0.98476392840631366</v>
      </c>
      <c r="AW61" s="38"/>
      <c r="AX61" s="38"/>
      <c r="AY61" s="38"/>
      <c r="AZ61" s="38"/>
      <c r="BK61"/>
      <c r="BL61"/>
      <c r="BM61"/>
      <c r="BN61"/>
    </row>
    <row r="62" spans="1:66" ht="15.75" customHeight="1" x14ac:dyDescent="0.2">
      <c r="A62" s="23" t="s">
        <v>93</v>
      </c>
      <c r="B62" s="42">
        <v>1.032142857142857E-2</v>
      </c>
      <c r="C62" s="42">
        <v>1.0908333333333332E-2</v>
      </c>
      <c r="D62" s="42">
        <v>1.0695833333333333E-2</v>
      </c>
      <c r="E62" s="42">
        <v>1.1658333333333335E-2</v>
      </c>
      <c r="F62" s="9">
        <f t="shared" si="0"/>
        <v>1.0761852562345846</v>
      </c>
      <c r="G62" s="9">
        <f t="shared" si="1"/>
        <v>1.0114263199369582</v>
      </c>
      <c r="H62" s="9">
        <f t="shared" si="2"/>
        <v>1.0093795093795097</v>
      </c>
      <c r="I62">
        <v>15</v>
      </c>
      <c r="J62" t="s">
        <v>84</v>
      </c>
      <c r="K62" s="8" t="s">
        <v>78</v>
      </c>
      <c r="L62" s="9">
        <f t="shared" si="3"/>
        <v>1.0323303618503508</v>
      </c>
      <c r="AW62" s="38"/>
      <c r="AX62" s="38"/>
      <c r="AY62" s="38"/>
      <c r="AZ62" s="38"/>
      <c r="BK62"/>
      <c r="BL62"/>
      <c r="BM62"/>
      <c r="BN62"/>
    </row>
    <row r="63" spans="1:66" ht="15.75" customHeight="1" x14ac:dyDescent="0.2">
      <c r="A63" s="23" t="s">
        <v>55</v>
      </c>
      <c r="B63" s="42">
        <v>1.0395238095238093E-2</v>
      </c>
      <c r="C63" s="42">
        <v>1.109722222222222E-2</v>
      </c>
      <c r="D63" s="42">
        <v>1.1504166666666668E-2</v>
      </c>
      <c r="E63" s="42">
        <v>1.2025000000000001E-2</v>
      </c>
      <c r="F63" s="9">
        <f t="shared" si="0"/>
        <v>1.0948204987667851</v>
      </c>
      <c r="G63" s="9">
        <f t="shared" si="1"/>
        <v>1.0878644602048859</v>
      </c>
      <c r="H63" s="9">
        <f t="shared" si="2"/>
        <v>1.0411255411255413</v>
      </c>
      <c r="I63">
        <v>16</v>
      </c>
      <c r="J63" t="s">
        <v>84</v>
      </c>
      <c r="K63" s="8" t="s">
        <v>85</v>
      </c>
      <c r="L63" s="9">
        <f t="shared" si="3"/>
        <v>1.0746035000324041</v>
      </c>
      <c r="AW63" s="38"/>
      <c r="AX63" s="38"/>
      <c r="AY63" s="38"/>
      <c r="AZ63" s="38"/>
      <c r="BK63"/>
      <c r="BL63"/>
      <c r="BM63"/>
      <c r="BN63"/>
    </row>
    <row r="64" spans="1:66" ht="15.75" customHeight="1" x14ac:dyDescent="0.2">
      <c r="A64" s="23" t="s">
        <v>94</v>
      </c>
      <c r="B64" s="42">
        <v>7.9690476190476169E-3</v>
      </c>
      <c r="C64" s="42">
        <v>8.1611111111111103E-3</v>
      </c>
      <c r="D64" s="42">
        <v>7.5624999999999998E-3</v>
      </c>
      <c r="E64" s="42">
        <v>6.7083333333333361E-3</v>
      </c>
      <c r="F64" s="9">
        <f t="shared" si="0"/>
        <v>0.80515209646478481</v>
      </c>
      <c r="G64" s="9">
        <f t="shared" si="1"/>
        <v>0.71513002364066192</v>
      </c>
      <c r="H64" s="9">
        <f t="shared" si="2"/>
        <v>0.58080808080808111</v>
      </c>
      <c r="I64">
        <v>17</v>
      </c>
      <c r="J64" t="s">
        <v>84</v>
      </c>
      <c r="K64" s="8" t="s">
        <v>78</v>
      </c>
      <c r="L64" s="9">
        <f t="shared" si="3"/>
        <v>0.70036340030450928</v>
      </c>
      <c r="AW64" s="38"/>
      <c r="AX64" s="38"/>
      <c r="AY64" s="38"/>
      <c r="AZ64" s="38"/>
      <c r="BK64"/>
      <c r="BL64"/>
      <c r="BM64"/>
      <c r="BN64"/>
    </row>
    <row r="65" spans="1:66" ht="15.75" customHeight="1" x14ac:dyDescent="0.2">
      <c r="A65" s="23" t="s">
        <v>95</v>
      </c>
      <c r="B65" s="42">
        <v>7.0976190476190471E-3</v>
      </c>
      <c r="C65" s="42">
        <v>6.8250000000000012E-3</v>
      </c>
      <c r="D65" s="42">
        <v>5.8583333333333343E-3</v>
      </c>
      <c r="E65" s="42">
        <v>4.6583333333333329E-3</v>
      </c>
      <c r="F65" s="9">
        <f t="shared" si="0"/>
        <v>0.67333516031789542</v>
      </c>
      <c r="G65" s="9">
        <f t="shared" si="1"/>
        <v>0.55397951142632007</v>
      </c>
      <c r="H65" s="9">
        <f t="shared" si="2"/>
        <v>0.40331890331890335</v>
      </c>
      <c r="I65">
        <v>18</v>
      </c>
      <c r="J65" t="s">
        <v>84</v>
      </c>
      <c r="K65" s="8" t="s">
        <v>85</v>
      </c>
      <c r="L65" s="9">
        <f t="shared" si="3"/>
        <v>0.54354452502103967</v>
      </c>
      <c r="AW65" s="38"/>
      <c r="AX65" s="38"/>
      <c r="AY65" s="38"/>
      <c r="AZ65" s="38"/>
      <c r="BK65"/>
      <c r="BL65"/>
      <c r="BM65"/>
      <c r="BN65"/>
    </row>
    <row r="66" spans="1:66" ht="15.75" customHeight="1" x14ac:dyDescent="0.2">
      <c r="A66" s="23" t="s">
        <v>51</v>
      </c>
      <c r="B66" s="42">
        <v>1.2240476190476187E-2</v>
      </c>
      <c r="C66" s="42">
        <v>1.2247222222222222E-2</v>
      </c>
      <c r="D66" s="42">
        <v>1.26125E-2</v>
      </c>
      <c r="E66" s="42">
        <v>1.3458333333333334E-2</v>
      </c>
      <c r="F66" s="9">
        <f t="shared" si="0"/>
        <v>1.2082762400657714</v>
      </c>
      <c r="G66" s="9">
        <f t="shared" si="1"/>
        <v>1.1926713947990546</v>
      </c>
      <c r="H66" s="9">
        <f t="shared" si="2"/>
        <v>1.1652236652236656</v>
      </c>
      <c r="I66">
        <v>19</v>
      </c>
      <c r="J66" t="s">
        <v>84</v>
      </c>
      <c r="K66" s="8" t="s">
        <v>85</v>
      </c>
      <c r="L66" s="9">
        <f t="shared" si="3"/>
        <v>1.1887237666961639</v>
      </c>
      <c r="BH66" s="38"/>
      <c r="BI66" s="38"/>
      <c r="BJ66" s="38"/>
      <c r="BL66"/>
      <c r="BM66"/>
      <c r="BN66"/>
    </row>
    <row r="67" spans="1:66" ht="15.75" customHeight="1" x14ac:dyDescent="0.2">
      <c r="A67" s="23" t="s">
        <v>9</v>
      </c>
      <c r="B67" s="42">
        <v>1.0371428571428575E-2</v>
      </c>
      <c r="C67" s="42">
        <v>1.0922222222222226E-2</v>
      </c>
      <c r="D67" s="42">
        <v>1.1004166666666667E-2</v>
      </c>
      <c r="E67" s="42">
        <v>1.2016666666666667E-2</v>
      </c>
      <c r="F67" s="9">
        <f t="shared" si="0"/>
        <v>1.0775554946560704</v>
      </c>
      <c r="G67" s="9">
        <f t="shared" si="1"/>
        <v>1.0405831363278173</v>
      </c>
      <c r="H67" s="9">
        <f t="shared" si="2"/>
        <v>1.0404040404040407</v>
      </c>
      <c r="I67">
        <v>20</v>
      </c>
      <c r="J67" t="s">
        <v>84</v>
      </c>
      <c r="K67" s="8" t="s">
        <v>78</v>
      </c>
      <c r="L67" s="9">
        <f t="shared" si="3"/>
        <v>1.0528475571293094</v>
      </c>
      <c r="BH67" s="38"/>
      <c r="BI67" s="38"/>
      <c r="BJ67" s="38"/>
      <c r="BL67"/>
      <c r="BM67"/>
      <c r="BN67"/>
    </row>
    <row r="68" spans="1:66" ht="15.75" hidden="1" customHeight="1" x14ac:dyDescent="0.2">
      <c r="A68" s="23" t="s">
        <v>96</v>
      </c>
      <c r="B68" s="42">
        <v>1.1504761904761907E-2</v>
      </c>
      <c r="C68" s="42">
        <v>1.2238888888888891E-2</v>
      </c>
      <c r="D68" s="42">
        <v>1.18875E-2</v>
      </c>
      <c r="E68" s="42">
        <v>1.2683333333333333E-2</v>
      </c>
      <c r="F68" s="9">
        <f t="shared" si="0"/>
        <v>1.2074540970128804</v>
      </c>
      <c r="G68" s="9">
        <f t="shared" si="1"/>
        <v>1.124113475177305</v>
      </c>
      <c r="H68" s="9">
        <f t="shared" si="2"/>
        <v>1.0981240981240983</v>
      </c>
      <c r="I68">
        <v>21</v>
      </c>
      <c r="J68" t="s">
        <v>84</v>
      </c>
      <c r="K68" s="8" t="s">
        <v>97</v>
      </c>
      <c r="L68" s="9">
        <f t="shared" si="3"/>
        <v>1.143230556771428</v>
      </c>
      <c r="BH68" s="38"/>
      <c r="BI68" s="38"/>
      <c r="BJ68" s="38"/>
      <c r="BL68"/>
      <c r="BM68"/>
      <c r="BN68"/>
    </row>
    <row r="69" spans="1:66" ht="15.75" customHeight="1" x14ac:dyDescent="0.2">
      <c r="A69" s="23" t="s">
        <v>98</v>
      </c>
      <c r="B69" s="42">
        <v>1.0195238095238094E-2</v>
      </c>
      <c r="C69" s="42">
        <v>9.6472222222222202E-3</v>
      </c>
      <c r="D69" s="42">
        <v>1.1349999999999999E-2</v>
      </c>
      <c r="E69" s="42">
        <v>1.0283333333333334E-2</v>
      </c>
      <c r="F69" s="9">
        <f t="shared" si="0"/>
        <v>0.95176760756371581</v>
      </c>
      <c r="G69" s="9">
        <f t="shared" si="1"/>
        <v>1.0732860520094563</v>
      </c>
      <c r="H69" s="9">
        <f t="shared" si="2"/>
        <v>0.89033189033189053</v>
      </c>
      <c r="I69">
        <v>22</v>
      </c>
      <c r="J69" t="s">
        <v>84</v>
      </c>
      <c r="K69" s="8" t="s">
        <v>78</v>
      </c>
      <c r="L69" s="9">
        <f t="shared" si="3"/>
        <v>0.97179518330168746</v>
      </c>
      <c r="BH69" s="38"/>
      <c r="BI69" s="38"/>
      <c r="BJ69" s="38"/>
      <c r="BL69"/>
      <c r="BM69"/>
      <c r="BN69"/>
    </row>
    <row r="70" spans="1:66" ht="15.75" customHeight="1" x14ac:dyDescent="0.2">
      <c r="A70" s="23" t="s">
        <v>99</v>
      </c>
      <c r="B70" s="42">
        <v>9.3166666666666675E-3</v>
      </c>
      <c r="C70" s="42">
        <v>9.1361111111111122E-3</v>
      </c>
      <c r="D70" s="42">
        <v>8.5874999999999996E-3</v>
      </c>
      <c r="E70" s="42">
        <v>4.8833333333333333E-3</v>
      </c>
      <c r="F70" s="9">
        <f t="shared" si="0"/>
        <v>0.90134283365305568</v>
      </c>
      <c r="G70" s="9">
        <f t="shared" si="1"/>
        <v>0.81205673758865249</v>
      </c>
      <c r="H70" s="9">
        <f t="shared" si="2"/>
        <v>0.4227994227994229</v>
      </c>
      <c r="I70">
        <v>23</v>
      </c>
      <c r="J70" t="s">
        <v>84</v>
      </c>
      <c r="K70" s="8" t="s">
        <v>85</v>
      </c>
      <c r="L70" s="9">
        <f t="shared" si="3"/>
        <v>0.71206633134704367</v>
      </c>
      <c r="BH70" s="38"/>
      <c r="BI70" s="38"/>
      <c r="BJ70" s="38"/>
      <c r="BL70"/>
      <c r="BM70"/>
      <c r="BN70"/>
    </row>
    <row r="71" spans="1:66" ht="15.75" customHeight="1" x14ac:dyDescent="0.2">
      <c r="A71" s="11" t="s">
        <v>100</v>
      </c>
      <c r="B71" s="42">
        <v>1.0119047619047623E-2</v>
      </c>
      <c r="C71" s="42">
        <v>1.0066666666666666E-2</v>
      </c>
      <c r="D71" s="42">
        <v>1.0508333333333333E-2</v>
      </c>
      <c r="E71" s="42">
        <v>1.1500000000000002E-2</v>
      </c>
      <c r="F71" s="9">
        <f t="shared" si="0"/>
        <v>0.99314880789257332</v>
      </c>
      <c r="G71" s="9">
        <f t="shared" si="1"/>
        <v>0.99369582348305752</v>
      </c>
      <c r="H71" s="9">
        <f t="shared" si="2"/>
        <v>0.99567099567099604</v>
      </c>
      <c r="I71">
        <v>24</v>
      </c>
      <c r="J71" t="s">
        <v>84</v>
      </c>
      <c r="K71" s="8" t="s">
        <v>78</v>
      </c>
      <c r="L71" s="9">
        <f t="shared" si="3"/>
        <v>0.99417187568220899</v>
      </c>
      <c r="BH71" s="38"/>
      <c r="BI71" s="38"/>
      <c r="BJ71" s="38"/>
      <c r="BL71"/>
      <c r="BM71"/>
      <c r="BN71"/>
    </row>
    <row r="72" spans="1:66" ht="15.75" customHeight="1" x14ac:dyDescent="0.2">
      <c r="A72" s="11" t="s">
        <v>10</v>
      </c>
      <c r="B72" s="42">
        <v>1.233809523809524E-2</v>
      </c>
      <c r="C72" s="42">
        <v>1.2658333333333334E-2</v>
      </c>
      <c r="D72" s="42">
        <v>1.1670833333333337E-2</v>
      </c>
      <c r="E72" s="42">
        <v>1.1050000000000003E-2</v>
      </c>
      <c r="F72" s="9">
        <f t="shared" si="0"/>
        <v>1.2488352973417376</v>
      </c>
      <c r="G72" s="9">
        <f t="shared" si="1"/>
        <v>1.1036249014972423</v>
      </c>
      <c r="H72" s="9">
        <f t="shared" si="2"/>
        <v>0.95670995670995707</v>
      </c>
      <c r="I72">
        <v>25</v>
      </c>
      <c r="J72" t="s">
        <v>84</v>
      </c>
      <c r="K72" s="8" t="s">
        <v>78</v>
      </c>
      <c r="L72" s="9">
        <f t="shared" si="3"/>
        <v>1.1030567185163123</v>
      </c>
      <c r="BH72" s="38"/>
      <c r="BI72" s="38"/>
      <c r="BJ72" s="38"/>
      <c r="BL72"/>
      <c r="BM72"/>
      <c r="BN72"/>
    </row>
    <row r="73" spans="1:66" ht="15.75" customHeight="1" x14ac:dyDescent="0.2">
      <c r="A73" s="11" t="s">
        <v>101</v>
      </c>
      <c r="B73" s="42">
        <v>9.7976190476190498E-3</v>
      </c>
      <c r="C73" s="42">
        <v>9.6749999999999996E-3</v>
      </c>
      <c r="D73" s="42">
        <v>1.0120833333333334E-2</v>
      </c>
      <c r="E73" s="42">
        <v>9.841666666666667E-3</v>
      </c>
      <c r="F73" s="9">
        <f t="shared" si="0"/>
        <v>0.95450808440668666</v>
      </c>
      <c r="G73" s="9">
        <f t="shared" si="1"/>
        <v>0.9570527974783295</v>
      </c>
      <c r="H73" s="9">
        <f t="shared" si="2"/>
        <v>0.85209235209235223</v>
      </c>
      <c r="I73">
        <v>26</v>
      </c>
      <c r="J73" t="s">
        <v>84</v>
      </c>
      <c r="K73" s="8" t="s">
        <v>78</v>
      </c>
      <c r="L73" s="9">
        <f t="shared" si="3"/>
        <v>0.92121774465912287</v>
      </c>
      <c r="BH73" s="38"/>
      <c r="BI73" s="38"/>
      <c r="BJ73" s="38"/>
      <c r="BL73"/>
      <c r="BM73"/>
      <c r="BN73"/>
    </row>
    <row r="74" spans="1:66" ht="15.75" customHeight="1" x14ac:dyDescent="0.2">
      <c r="A74" s="11" t="s">
        <v>102</v>
      </c>
      <c r="B74" s="42">
        <v>6.5952380952380941E-3</v>
      </c>
      <c r="C74" s="42">
        <v>5.9388888888888885E-3</v>
      </c>
      <c r="D74" s="42">
        <v>6.8583333333333317E-3</v>
      </c>
      <c r="E74" s="42">
        <v>6.1500000000000018E-3</v>
      </c>
      <c r="F74" s="9">
        <f t="shared" si="0"/>
        <v>0.58591394902713068</v>
      </c>
      <c r="G74" s="9">
        <f t="shared" si="1"/>
        <v>0.64854215918045699</v>
      </c>
      <c r="H74" s="9">
        <f t="shared" si="2"/>
        <v>0.53246753246753276</v>
      </c>
      <c r="I74">
        <v>27</v>
      </c>
      <c r="J74" t="s">
        <v>84</v>
      </c>
      <c r="K74" s="8" t="s">
        <v>78</v>
      </c>
      <c r="L74" s="9">
        <f t="shared" si="3"/>
        <v>0.58897454689170681</v>
      </c>
      <c r="BH74" s="38"/>
      <c r="BI74" s="38"/>
      <c r="BJ74" s="38"/>
      <c r="BL74"/>
      <c r="BM74"/>
      <c r="BN74"/>
    </row>
    <row r="75" spans="1:66" ht="15.75" customHeight="1" x14ac:dyDescent="0.2">
      <c r="A75" s="11" t="s">
        <v>103</v>
      </c>
      <c r="B75" s="42">
        <v>8.9642857142857111E-3</v>
      </c>
      <c r="C75" s="42">
        <v>7.9416666666666663E-3</v>
      </c>
      <c r="D75" s="42">
        <v>8.9041666666666679E-3</v>
      </c>
      <c r="E75" s="42">
        <v>9.2249999999999988E-3</v>
      </c>
      <c r="F75" s="9">
        <f t="shared" si="0"/>
        <v>0.7835023294053165</v>
      </c>
      <c r="G75" s="9">
        <f t="shared" si="1"/>
        <v>0.8420015760441294</v>
      </c>
      <c r="H75" s="9">
        <f t="shared" si="2"/>
        <v>0.7987012987012988</v>
      </c>
      <c r="I75">
        <v>28</v>
      </c>
      <c r="J75" t="s">
        <v>84</v>
      </c>
      <c r="K75" s="8" t="s">
        <v>78</v>
      </c>
      <c r="L75" s="9">
        <f t="shared" si="3"/>
        <v>0.80806840138358149</v>
      </c>
      <c r="BH75" s="38"/>
      <c r="BI75" s="38"/>
      <c r="BJ75" s="38"/>
      <c r="BL75"/>
      <c r="BM75"/>
      <c r="BN75"/>
    </row>
    <row r="76" spans="1:66" ht="15.75" customHeight="1" x14ac:dyDescent="0.2">
      <c r="A76" s="11" t="s">
        <v>52</v>
      </c>
      <c r="B76" s="42">
        <v>1.9252380952380958E-2</v>
      </c>
      <c r="C76" s="42">
        <v>1.8902777777777782E-2</v>
      </c>
      <c r="D76" s="42">
        <v>1.6112499999999991E-2</v>
      </c>
      <c r="E76" s="42">
        <v>1.1966666666666669E-2</v>
      </c>
      <c r="F76" s="9">
        <f t="shared" si="0"/>
        <v>1.864894491641546</v>
      </c>
      <c r="G76" s="9">
        <f t="shared" si="1"/>
        <v>1.5236406619385336</v>
      </c>
      <c r="H76" s="9">
        <f t="shared" si="2"/>
        <v>1.0360750360750364</v>
      </c>
      <c r="I76">
        <v>29</v>
      </c>
      <c r="J76" t="s">
        <v>84</v>
      </c>
      <c r="K76" s="8" t="s">
        <v>85</v>
      </c>
      <c r="L76" s="9">
        <f t="shared" si="3"/>
        <v>1.474870063218372</v>
      </c>
      <c r="BH76" s="38"/>
      <c r="BI76" s="38"/>
      <c r="BJ76" s="38"/>
      <c r="BL76"/>
      <c r="BM76"/>
      <c r="BN76"/>
    </row>
    <row r="77" spans="1:66" ht="15.75" customHeight="1" x14ac:dyDescent="0.2">
      <c r="A77" s="24" t="s">
        <v>104</v>
      </c>
      <c r="B77" s="42">
        <v>5.9357142857142846E-3</v>
      </c>
      <c r="C77" s="42">
        <v>5.7583333333333332E-3</v>
      </c>
      <c r="D77" s="42">
        <v>5.6624999999999983E-3</v>
      </c>
      <c r="E77" s="42">
        <v>5.0333333333333332E-3</v>
      </c>
      <c r="F77" s="9">
        <f t="shared" si="0"/>
        <v>0.56810084954782125</v>
      </c>
      <c r="G77" s="9">
        <f t="shared" si="1"/>
        <v>0.53546099290780125</v>
      </c>
      <c r="H77" s="9">
        <f t="shared" si="2"/>
        <v>0.43578643578643589</v>
      </c>
      <c r="I77">
        <v>30</v>
      </c>
      <c r="J77" t="s">
        <v>105</v>
      </c>
      <c r="K77" s="8" t="s">
        <v>78</v>
      </c>
      <c r="L77" s="9">
        <f t="shared" si="3"/>
        <v>0.51311609274735281</v>
      </c>
      <c r="BH77" s="38"/>
      <c r="BI77" s="38"/>
      <c r="BJ77" s="38"/>
      <c r="BL77"/>
      <c r="BM77"/>
      <c r="BN77"/>
    </row>
    <row r="78" spans="1:66" ht="15.75" customHeight="1" x14ac:dyDescent="0.2">
      <c r="A78" s="24" t="s">
        <v>106</v>
      </c>
      <c r="B78" s="42">
        <v>4.5476190476190477E-3</v>
      </c>
      <c r="C78" s="42">
        <v>4.3138888888888888E-3</v>
      </c>
      <c r="D78" s="42">
        <v>3.8791666666666666E-3</v>
      </c>
      <c r="E78" s="42">
        <v>2.2833333333333334E-3</v>
      </c>
      <c r="F78" s="9">
        <f t="shared" si="0"/>
        <v>0.42559605371334608</v>
      </c>
      <c r="G78" s="9">
        <f t="shared" si="1"/>
        <v>0.36682427107959026</v>
      </c>
      <c r="H78" s="9">
        <f t="shared" si="2"/>
        <v>0.19769119769119772</v>
      </c>
      <c r="I78">
        <v>31</v>
      </c>
      <c r="J78" t="s">
        <v>105</v>
      </c>
      <c r="K78" s="8" t="s">
        <v>85</v>
      </c>
      <c r="L78" s="9">
        <f t="shared" si="3"/>
        <v>0.33003717416137801</v>
      </c>
      <c r="BH78" s="38"/>
      <c r="BI78" s="38"/>
      <c r="BJ78" s="38"/>
      <c r="BL78"/>
      <c r="BM78"/>
      <c r="BN78"/>
    </row>
    <row r="79" spans="1:66" ht="15.75" customHeight="1" x14ac:dyDescent="0.2">
      <c r="A79" s="24" t="s">
        <v>107</v>
      </c>
      <c r="B79" s="42">
        <v>6.6833333333333311E-3</v>
      </c>
      <c r="C79" s="42">
        <v>6.9722222222222225E-3</v>
      </c>
      <c r="D79" s="42">
        <v>8.9416666666666672E-3</v>
      </c>
      <c r="E79" s="42">
        <v>5.9083333333333314E-3</v>
      </c>
      <c r="F79" s="9">
        <f t="shared" si="0"/>
        <v>0.68785968758563987</v>
      </c>
      <c r="G79" s="9">
        <f t="shared" si="1"/>
        <v>0.84554767533490949</v>
      </c>
      <c r="H79" s="9">
        <f t="shared" si="2"/>
        <v>0.51154401154401152</v>
      </c>
      <c r="I79">
        <v>32</v>
      </c>
      <c r="J79" t="s">
        <v>105</v>
      </c>
      <c r="K79" s="8" t="s">
        <v>78</v>
      </c>
      <c r="L79" s="9">
        <f t="shared" si="3"/>
        <v>0.68165045815485359</v>
      </c>
      <c r="BH79" s="38"/>
      <c r="BI79" s="38"/>
      <c r="BJ79" s="38"/>
      <c r="BL79"/>
      <c r="BM79"/>
      <c r="BN79"/>
    </row>
    <row r="80" spans="1:66" ht="15.75" customHeight="1" x14ac:dyDescent="0.2">
      <c r="A80" s="24" t="s">
        <v>108</v>
      </c>
      <c r="B80" s="42">
        <v>9.8285714285714296E-3</v>
      </c>
      <c r="C80" s="42">
        <v>1.0669444444444447E-2</v>
      </c>
      <c r="D80" s="42">
        <v>1.1366666666666666E-2</v>
      </c>
      <c r="E80" s="42">
        <v>9.9333333333333339E-3</v>
      </c>
      <c r="F80" s="9">
        <f t="shared" ref="F80:F110" si="4">C80/$C$48</f>
        <v>1.0526171553850372</v>
      </c>
      <c r="G80" s="9">
        <f t="shared" ref="G80:G110" si="5">D80/$D$48</f>
        <v>1.0748620961386919</v>
      </c>
      <c r="H80" s="9">
        <f t="shared" ref="H80:H110" si="6">E80/$E$48</f>
        <v>0.86002886002886025</v>
      </c>
      <c r="I80">
        <v>33</v>
      </c>
      <c r="J80" t="s">
        <v>105</v>
      </c>
      <c r="K80" s="8" t="s">
        <v>78</v>
      </c>
      <c r="L80" s="9">
        <f t="shared" ref="L80:L110" si="7">AVERAGE(F80:H80)</f>
        <v>0.99583603718419644</v>
      </c>
      <c r="BH80" s="38"/>
      <c r="BI80" s="38"/>
      <c r="BJ80" s="38"/>
      <c r="BL80"/>
      <c r="BM80"/>
      <c r="BN80"/>
    </row>
    <row r="81" spans="1:66" ht="15.75" customHeight="1" x14ac:dyDescent="0.2">
      <c r="A81" s="24" t="s">
        <v>109</v>
      </c>
      <c r="B81" s="42">
        <v>9.621428571428569E-3</v>
      </c>
      <c r="C81" s="42">
        <v>1.1155555555555551E-2</v>
      </c>
      <c r="D81" s="42">
        <v>1.1974999999999998E-2</v>
      </c>
      <c r="E81" s="42">
        <v>9.0999999999999987E-3</v>
      </c>
      <c r="F81" s="9">
        <f t="shared" si="4"/>
        <v>1.1005755001370232</v>
      </c>
      <c r="G81" s="9">
        <f t="shared" si="5"/>
        <v>1.1323877068557919</v>
      </c>
      <c r="H81" s="9">
        <f t="shared" si="6"/>
        <v>0.78787878787878796</v>
      </c>
      <c r="I81">
        <v>34</v>
      </c>
      <c r="J81" t="s">
        <v>105</v>
      </c>
      <c r="K81" s="8" t="s">
        <v>85</v>
      </c>
      <c r="L81" s="9">
        <f t="shared" si="7"/>
        <v>1.0069473316238677</v>
      </c>
      <c r="BH81" s="38"/>
      <c r="BI81" s="38"/>
      <c r="BJ81" s="38"/>
      <c r="BL81"/>
      <c r="BM81"/>
      <c r="BN81"/>
    </row>
    <row r="82" spans="1:66" ht="15.75" customHeight="1" x14ac:dyDescent="0.2">
      <c r="A82" s="24" t="s">
        <v>110</v>
      </c>
      <c r="B82" s="42">
        <v>1.0047619047619047E-2</v>
      </c>
      <c r="C82" s="42">
        <v>1.0516666666666665E-2</v>
      </c>
      <c r="D82" s="42">
        <v>1.1908333333333332E-2</v>
      </c>
      <c r="E82" s="42">
        <v>1.1233333333333331E-2</v>
      </c>
      <c r="F82" s="9">
        <f t="shared" si="4"/>
        <v>1.0375445327486981</v>
      </c>
      <c r="G82" s="9">
        <f t="shared" si="5"/>
        <v>1.1260835303388494</v>
      </c>
      <c r="H82" s="9">
        <f t="shared" si="6"/>
        <v>0.97258297258297255</v>
      </c>
      <c r="I82">
        <v>35</v>
      </c>
      <c r="J82" t="s">
        <v>105</v>
      </c>
      <c r="K82" s="8" t="s">
        <v>78</v>
      </c>
      <c r="L82" s="9">
        <f t="shared" si="7"/>
        <v>1.0454036785568401</v>
      </c>
      <c r="BH82" s="38"/>
      <c r="BI82" s="38"/>
      <c r="BJ82" s="38"/>
      <c r="BL82"/>
      <c r="BM82"/>
      <c r="BN82"/>
    </row>
    <row r="83" spans="1:66" ht="15.75" customHeight="1" x14ac:dyDescent="0.2">
      <c r="A83" s="24" t="s">
        <v>65</v>
      </c>
      <c r="B83" s="42">
        <v>1.1233333333333331E-2</v>
      </c>
      <c r="C83" s="42">
        <v>1.1286111111111111E-2</v>
      </c>
      <c r="D83" s="42">
        <v>1.1175000000000003E-2</v>
      </c>
      <c r="E83" s="42">
        <v>1.1774999999999999E-2</v>
      </c>
      <c r="F83" s="9">
        <f t="shared" si="4"/>
        <v>1.1134557412989861</v>
      </c>
      <c r="G83" s="9">
        <f t="shared" si="5"/>
        <v>1.0567375886524826</v>
      </c>
      <c r="H83" s="9">
        <f t="shared" si="6"/>
        <v>1.0194805194805197</v>
      </c>
      <c r="I83">
        <v>36</v>
      </c>
      <c r="J83" t="s">
        <v>105</v>
      </c>
      <c r="K83" s="8" t="s">
        <v>85</v>
      </c>
      <c r="L83" s="9">
        <f t="shared" si="7"/>
        <v>1.0632246164773294</v>
      </c>
      <c r="BH83" s="38"/>
      <c r="BI83" s="38"/>
      <c r="BJ83" s="38"/>
      <c r="BL83"/>
      <c r="BM83"/>
      <c r="BN83"/>
    </row>
    <row r="84" spans="1:66" ht="15.75" customHeight="1" x14ac:dyDescent="0.2">
      <c r="A84" s="24" t="s">
        <v>111</v>
      </c>
      <c r="B84" s="42">
        <v>1.8809523809523803E-3</v>
      </c>
      <c r="C84" s="42">
        <v>2.2833333333333321E-3</v>
      </c>
      <c r="D84" s="42">
        <v>1.4833333333333324E-3</v>
      </c>
      <c r="E84" s="42">
        <v>-1.2816666666666665E-2</v>
      </c>
      <c r="F84" s="9">
        <f t="shared" si="4"/>
        <v>0.22526719649218951</v>
      </c>
      <c r="G84" s="9">
        <f t="shared" si="5"/>
        <v>0.14026792750196998</v>
      </c>
      <c r="H84" s="9">
        <f t="shared" si="6"/>
        <v>-1.1096681096681098</v>
      </c>
      <c r="I84">
        <v>37</v>
      </c>
      <c r="J84" t="s">
        <v>105</v>
      </c>
      <c r="K84" s="8" t="s">
        <v>78</v>
      </c>
      <c r="L84" s="9">
        <f t="shared" si="7"/>
        <v>-0.24804432855798342</v>
      </c>
      <c r="BH84" s="38"/>
      <c r="BI84" s="38"/>
      <c r="BJ84" s="38"/>
      <c r="BL84"/>
      <c r="BM84"/>
      <c r="BN84"/>
    </row>
    <row r="85" spans="1:66" ht="15.75" customHeight="1" x14ac:dyDescent="0.2">
      <c r="A85" s="24" t="s">
        <v>112</v>
      </c>
      <c r="B85" s="42">
        <v>6.9214285714285706E-3</v>
      </c>
      <c r="C85" s="42">
        <v>8.5861111111111086E-3</v>
      </c>
      <c r="D85" s="42">
        <v>1.1262499999999996E-2</v>
      </c>
      <c r="E85" s="42">
        <v>9.4333333333333335E-3</v>
      </c>
      <c r="F85" s="9">
        <f t="shared" si="4"/>
        <v>0.84708139216223599</v>
      </c>
      <c r="G85" s="9">
        <f t="shared" si="5"/>
        <v>1.0650118203309691</v>
      </c>
      <c r="H85" s="9">
        <f t="shared" si="6"/>
        <v>0.81673881673881688</v>
      </c>
      <c r="I85">
        <v>38</v>
      </c>
      <c r="J85" t="s">
        <v>105</v>
      </c>
      <c r="K85" s="8" t="s">
        <v>85</v>
      </c>
      <c r="L85" s="9">
        <f t="shared" si="7"/>
        <v>0.90961067641067395</v>
      </c>
      <c r="BH85" s="38"/>
      <c r="BI85" s="38"/>
      <c r="BJ85" s="38"/>
      <c r="BL85"/>
      <c r="BM85"/>
      <c r="BN85"/>
    </row>
    <row r="86" spans="1:66" ht="15.75" customHeight="1" x14ac:dyDescent="0.2">
      <c r="A86" s="24" t="s">
        <v>113</v>
      </c>
      <c r="B86" s="42">
        <v>4.0523809523809531E-3</v>
      </c>
      <c r="C86" s="42">
        <v>7.4611111111111128E-3</v>
      </c>
      <c r="D86" s="42">
        <v>1.2487499999999999E-2</v>
      </c>
      <c r="E86" s="42">
        <v>7.9666666666666688E-3</v>
      </c>
      <c r="F86" s="9">
        <f t="shared" si="4"/>
        <v>0.73609208002192394</v>
      </c>
      <c r="G86" s="9">
        <f t="shared" si="5"/>
        <v>1.1808510638297871</v>
      </c>
      <c r="H86" s="9">
        <f t="shared" si="6"/>
        <v>0.68975468975469012</v>
      </c>
      <c r="I86">
        <v>39</v>
      </c>
      <c r="J86" t="s">
        <v>105</v>
      </c>
      <c r="K86" s="8" t="s">
        <v>85</v>
      </c>
      <c r="L86" s="9">
        <f t="shared" si="7"/>
        <v>0.86889927786880039</v>
      </c>
      <c r="BH86" s="38"/>
      <c r="BI86" s="38"/>
      <c r="BJ86" s="38"/>
      <c r="BL86"/>
      <c r="BM86"/>
      <c r="BN86"/>
    </row>
    <row r="87" spans="1:66" ht="15.75" customHeight="1" x14ac:dyDescent="0.2">
      <c r="A87" s="24" t="s">
        <v>114</v>
      </c>
      <c r="B87" s="42">
        <v>9.0309523809523808E-3</v>
      </c>
      <c r="C87" s="42">
        <v>8.7805555555555571E-3</v>
      </c>
      <c r="D87" s="42">
        <v>9.6916666666666696E-3</v>
      </c>
      <c r="E87" s="42">
        <v>8.2583333333333328E-3</v>
      </c>
      <c r="F87" s="9">
        <f t="shared" si="4"/>
        <v>0.86626473006303106</v>
      </c>
      <c r="G87" s="9">
        <f t="shared" si="5"/>
        <v>0.91646966115051254</v>
      </c>
      <c r="H87" s="9">
        <f t="shared" si="6"/>
        <v>0.71500721500721509</v>
      </c>
      <c r="I87">
        <v>40</v>
      </c>
      <c r="J87" t="s">
        <v>105</v>
      </c>
      <c r="K87" s="8" t="s">
        <v>85</v>
      </c>
      <c r="L87" s="9">
        <f t="shared" si="7"/>
        <v>0.83258053540691945</v>
      </c>
      <c r="BH87" s="38"/>
      <c r="BI87" s="38"/>
      <c r="BJ87" s="38"/>
      <c r="BL87"/>
      <c r="BM87"/>
      <c r="BN87"/>
    </row>
    <row r="88" spans="1:66" ht="15.75" customHeight="1" x14ac:dyDescent="0.2">
      <c r="A88" s="24" t="s">
        <v>115</v>
      </c>
      <c r="B88" s="42">
        <v>1.0804761904761904E-2</v>
      </c>
      <c r="C88" s="42">
        <v>1.1327777777777777E-2</v>
      </c>
      <c r="D88" s="42">
        <v>1.2466666666666668E-2</v>
      </c>
      <c r="E88" s="42">
        <v>1.1933333333333332E-2</v>
      </c>
      <c r="F88" s="9">
        <f t="shared" si="4"/>
        <v>1.117566456563442</v>
      </c>
      <c r="G88" s="9">
        <f t="shared" si="5"/>
        <v>1.1788810086682429</v>
      </c>
      <c r="H88" s="9">
        <f t="shared" si="6"/>
        <v>1.0331890331890332</v>
      </c>
      <c r="I88">
        <v>41</v>
      </c>
      <c r="J88" t="s">
        <v>105</v>
      </c>
      <c r="K88" s="8" t="s">
        <v>78</v>
      </c>
      <c r="L88" s="9">
        <f t="shared" si="7"/>
        <v>1.109878832806906</v>
      </c>
      <c r="BH88" s="38"/>
      <c r="BI88" s="38"/>
      <c r="BJ88" s="38"/>
      <c r="BL88"/>
      <c r="BM88"/>
      <c r="BN88"/>
    </row>
    <row r="89" spans="1:66" ht="15.75" customHeight="1" x14ac:dyDescent="0.2">
      <c r="A89" s="24" t="s">
        <v>116</v>
      </c>
      <c r="B89" s="42">
        <v>-2.0809523809523825E-3</v>
      </c>
      <c r="C89" s="42">
        <v>-8.0555555555555708E-4</v>
      </c>
      <c r="D89" s="42">
        <v>3.5791666666666658E-3</v>
      </c>
      <c r="E89" s="42">
        <v>-3.0224999999999998E-2</v>
      </c>
      <c r="F89" s="9">
        <f t="shared" si="4"/>
        <v>-7.947382844614978E-2</v>
      </c>
      <c r="G89" s="9">
        <f t="shared" si="5"/>
        <v>0.33845547675334903</v>
      </c>
      <c r="H89" s="9">
        <f t="shared" si="6"/>
        <v>-2.616883116883117</v>
      </c>
      <c r="I89">
        <v>42</v>
      </c>
      <c r="J89" t="s">
        <v>105</v>
      </c>
      <c r="K89" s="8" t="s">
        <v>85</v>
      </c>
      <c r="L89" s="9">
        <f t="shared" si="7"/>
        <v>-0.78596715619197255</v>
      </c>
      <c r="BH89" s="38"/>
      <c r="BI89" s="38"/>
      <c r="BJ89" s="38"/>
      <c r="BL89"/>
      <c r="BM89"/>
      <c r="BN89"/>
    </row>
    <row r="90" spans="1:66" ht="15.75" customHeight="1" x14ac:dyDescent="0.2">
      <c r="A90" s="24" t="s">
        <v>117</v>
      </c>
      <c r="B90" s="42">
        <v>3.7714285714285723E-3</v>
      </c>
      <c r="C90" s="42">
        <v>3.6888888888888874E-3</v>
      </c>
      <c r="D90" s="42">
        <v>6.0458333333333336E-3</v>
      </c>
      <c r="E90" s="42">
        <v>-9.9666666666666671E-3</v>
      </c>
      <c r="F90" s="9">
        <f t="shared" si="4"/>
        <v>0.36393532474650575</v>
      </c>
      <c r="G90" s="9">
        <f t="shared" si="5"/>
        <v>0.57171000788022075</v>
      </c>
      <c r="H90" s="9">
        <f t="shared" si="6"/>
        <v>-0.86291486291486308</v>
      </c>
      <c r="I90">
        <v>43</v>
      </c>
      <c r="J90" t="s">
        <v>105</v>
      </c>
      <c r="K90" s="8" t="s">
        <v>78</v>
      </c>
      <c r="L90" s="9">
        <f t="shared" si="7"/>
        <v>2.4243489903954456E-2</v>
      </c>
      <c r="BH90" s="38"/>
      <c r="BI90" s="38"/>
      <c r="BJ90" s="38"/>
      <c r="BL90"/>
      <c r="BM90"/>
      <c r="BN90"/>
    </row>
    <row r="91" spans="1:66" ht="15.75" customHeight="1" x14ac:dyDescent="0.2">
      <c r="A91" s="24" t="s">
        <v>118</v>
      </c>
      <c r="B91" s="42">
        <v>9.4047619047619019E-3</v>
      </c>
      <c r="C91" s="42">
        <v>8.5222222222222192E-3</v>
      </c>
      <c r="D91" s="42">
        <v>9.5041666666666625E-3</v>
      </c>
      <c r="E91" s="42">
        <v>1.0424999999999999E-2</v>
      </c>
      <c r="F91" s="9">
        <f t="shared" si="4"/>
        <v>0.84077829542340332</v>
      </c>
      <c r="G91" s="9">
        <f t="shared" si="5"/>
        <v>0.89873916469661119</v>
      </c>
      <c r="H91" s="9">
        <f t="shared" si="6"/>
        <v>0.90259740259740262</v>
      </c>
      <c r="I91">
        <v>44</v>
      </c>
      <c r="J91" t="s">
        <v>105</v>
      </c>
      <c r="K91" s="8" t="s">
        <v>78</v>
      </c>
      <c r="L91" s="9">
        <f t="shared" si="7"/>
        <v>0.88070495423913897</v>
      </c>
      <c r="BH91" s="38"/>
      <c r="BI91" s="38"/>
      <c r="BJ91" s="38"/>
      <c r="BL91"/>
      <c r="BM91"/>
      <c r="BN91"/>
    </row>
    <row r="92" spans="1:66" ht="15.75" customHeight="1" x14ac:dyDescent="0.2">
      <c r="A92" s="24" t="s">
        <v>119</v>
      </c>
      <c r="B92" s="42">
        <v>7.7428571428571425E-3</v>
      </c>
      <c r="C92" s="42">
        <v>5.3444444444444451E-3</v>
      </c>
      <c r="D92" s="42">
        <v>6.6374999999999976E-3</v>
      </c>
      <c r="E92" s="42">
        <v>-7.5333333333333355E-3</v>
      </c>
      <c r="F92" s="9">
        <f t="shared" si="4"/>
        <v>0.52726774458755832</v>
      </c>
      <c r="G92" s="9">
        <f t="shared" si="5"/>
        <v>0.62765957446808496</v>
      </c>
      <c r="H92" s="9">
        <f t="shared" si="6"/>
        <v>-0.6522366522366525</v>
      </c>
      <c r="I92">
        <v>45</v>
      </c>
      <c r="J92" t="s">
        <v>105</v>
      </c>
      <c r="K92" s="8" t="s">
        <v>78</v>
      </c>
      <c r="L92" s="9">
        <f t="shared" si="7"/>
        <v>0.16756355560633027</v>
      </c>
      <c r="BH92" s="38"/>
      <c r="BI92" s="38"/>
      <c r="BJ92" s="38"/>
      <c r="BL92"/>
      <c r="BM92"/>
      <c r="BN92"/>
    </row>
    <row r="93" spans="1:66" ht="15.75" customHeight="1" x14ac:dyDescent="0.2">
      <c r="A93" s="24" t="s">
        <v>53</v>
      </c>
      <c r="B93" s="42">
        <v>1.7321428571428571E-2</v>
      </c>
      <c r="C93" s="42">
        <v>1.7513888888888891E-2</v>
      </c>
      <c r="D93" s="42">
        <v>2.8508333333333333E-2</v>
      </c>
      <c r="E93" s="42">
        <v>3.3333333333333333E-2</v>
      </c>
      <c r="F93" s="9">
        <f t="shared" si="4"/>
        <v>1.7278706494930121</v>
      </c>
      <c r="G93" s="9">
        <f t="shared" si="5"/>
        <v>2.6958234830575258</v>
      </c>
      <c r="H93" s="9">
        <f t="shared" si="6"/>
        <v>2.8860028860028866</v>
      </c>
      <c r="I93">
        <v>46</v>
      </c>
      <c r="J93" t="s">
        <v>105</v>
      </c>
      <c r="K93" s="8" t="s">
        <v>85</v>
      </c>
      <c r="L93" s="9">
        <f t="shared" si="7"/>
        <v>2.4365656728511413</v>
      </c>
      <c r="BH93" s="38"/>
      <c r="BI93" s="38"/>
      <c r="BJ93" s="38"/>
      <c r="BL93"/>
      <c r="BM93"/>
      <c r="BN93"/>
    </row>
    <row r="94" spans="1:66" ht="15.75" hidden="1" customHeight="1" x14ac:dyDescent="0.2">
      <c r="A94" s="25" t="s">
        <v>120</v>
      </c>
      <c r="B94" s="42">
        <v>1.0609523809523805E-2</v>
      </c>
      <c r="C94" s="42">
        <v>7.0527777777777785E-3</v>
      </c>
      <c r="D94" s="42">
        <v>6.3041666666666671E-3</v>
      </c>
      <c r="E94" s="42">
        <v>5.7833333333333322E-3</v>
      </c>
      <c r="F94" s="9">
        <f t="shared" si="4"/>
        <v>0.69580707043025491</v>
      </c>
      <c r="G94" s="9">
        <f t="shared" si="5"/>
        <v>0.59613869188337276</v>
      </c>
      <c r="H94" s="9">
        <f t="shared" si="6"/>
        <v>0.50072150072150068</v>
      </c>
      <c r="I94">
        <v>47</v>
      </c>
      <c r="J94" t="s">
        <v>121</v>
      </c>
      <c r="K94" s="8" t="s">
        <v>97</v>
      </c>
      <c r="L94" s="9">
        <f t="shared" si="7"/>
        <v>0.59755575434504282</v>
      </c>
      <c r="BH94" s="38"/>
      <c r="BI94" s="38"/>
      <c r="BJ94" s="38"/>
      <c r="BL94"/>
      <c r="BM94"/>
      <c r="BN94"/>
    </row>
    <row r="95" spans="1:66" ht="15.75" customHeight="1" x14ac:dyDescent="0.2">
      <c r="A95" s="25" t="s">
        <v>122</v>
      </c>
      <c r="B95" s="42">
        <v>5.7714285714285706E-3</v>
      </c>
      <c r="C95" s="42">
        <v>4.2749999999999993E-3</v>
      </c>
      <c r="D95" s="42">
        <v>5.7958333333333334E-3</v>
      </c>
      <c r="E95" s="42">
        <v>2.4083333333333335E-3</v>
      </c>
      <c r="F95" s="9">
        <f t="shared" si="4"/>
        <v>0.42175938613318709</v>
      </c>
      <c r="G95" s="9">
        <f t="shared" si="5"/>
        <v>0.54806934594168644</v>
      </c>
      <c r="H95" s="9">
        <f t="shared" si="6"/>
        <v>0.20851370851370857</v>
      </c>
      <c r="I95">
        <v>48</v>
      </c>
      <c r="J95" t="s">
        <v>121</v>
      </c>
      <c r="K95" s="8" t="s">
        <v>85</v>
      </c>
      <c r="L95" s="9">
        <f t="shared" si="7"/>
        <v>0.39278081352952737</v>
      </c>
      <c r="BH95" s="38"/>
      <c r="BI95" s="38"/>
      <c r="BJ95" s="38"/>
      <c r="BL95"/>
      <c r="BM95"/>
      <c r="BN95"/>
    </row>
    <row r="96" spans="1:66" ht="15.75" customHeight="1" x14ac:dyDescent="0.2">
      <c r="A96" s="25" t="s">
        <v>123</v>
      </c>
      <c r="B96" s="42">
        <v>6.478571428571429E-3</v>
      </c>
      <c r="C96" s="42">
        <v>5.0166666666666658E-3</v>
      </c>
      <c r="D96" s="42">
        <v>6.6124999999999977E-3</v>
      </c>
      <c r="E96" s="42">
        <v>3.6916666666666677E-3</v>
      </c>
      <c r="F96" s="9">
        <f t="shared" si="4"/>
        <v>0.49493011784050417</v>
      </c>
      <c r="G96" s="9">
        <f t="shared" si="5"/>
        <v>0.62529550827423153</v>
      </c>
      <c r="H96" s="9">
        <f t="shared" si="6"/>
        <v>0.31962481962481976</v>
      </c>
      <c r="I96">
        <v>49</v>
      </c>
      <c r="J96" t="s">
        <v>121</v>
      </c>
      <c r="K96" s="8" t="s">
        <v>85</v>
      </c>
      <c r="L96" s="9">
        <f t="shared" si="7"/>
        <v>0.4799501485798518</v>
      </c>
      <c r="BH96" s="38"/>
      <c r="BI96" s="38"/>
      <c r="BJ96" s="38"/>
      <c r="BL96"/>
      <c r="BM96"/>
      <c r="BN96"/>
    </row>
    <row r="97" spans="1:66" ht="15.75" customHeight="1" x14ac:dyDescent="0.2">
      <c r="A97" s="29" t="s">
        <v>174</v>
      </c>
      <c r="B97" s="42">
        <v>3.576190476190475E-3</v>
      </c>
      <c r="C97" s="42">
        <v>-1.0694444444444443E-3</v>
      </c>
      <c r="D97" s="42">
        <v>-9.5833333333333361E-4</v>
      </c>
      <c r="E97" s="42">
        <v>-8.6166666666666666E-3</v>
      </c>
      <c r="F97" s="9">
        <f t="shared" si="4"/>
        <v>-0.10550835845437104</v>
      </c>
      <c r="G97" s="9">
        <f t="shared" si="5"/>
        <v>-9.0622537431048103E-2</v>
      </c>
      <c r="H97" s="9">
        <f t="shared" si="6"/>
        <v>-0.74603174603174616</v>
      </c>
      <c r="I97">
        <v>51</v>
      </c>
      <c r="J97" t="s">
        <v>121</v>
      </c>
      <c r="K97" s="8" t="s">
        <v>85</v>
      </c>
      <c r="L97" s="9">
        <f t="shared" si="7"/>
        <v>-0.31405421397238847</v>
      </c>
      <c r="BH97" s="38"/>
      <c r="BI97" s="38"/>
      <c r="BJ97" s="38"/>
      <c r="BL97"/>
      <c r="BM97"/>
      <c r="BN97"/>
    </row>
    <row r="98" spans="1:66" ht="15.75" customHeight="1" x14ac:dyDescent="0.2">
      <c r="A98" s="25" t="s">
        <v>56</v>
      </c>
      <c r="B98" s="42">
        <v>1.2161904761904763E-2</v>
      </c>
      <c r="C98" s="42">
        <v>1.0427777777777777E-2</v>
      </c>
      <c r="D98" s="42">
        <v>1.2791666666666666E-2</v>
      </c>
      <c r="E98" s="42">
        <v>1.5841666666666667E-2</v>
      </c>
      <c r="F98" s="9">
        <f t="shared" si="4"/>
        <v>1.0287750068511921</v>
      </c>
      <c r="G98" s="9">
        <f t="shared" si="5"/>
        <v>1.2096138691883374</v>
      </c>
      <c r="H98" s="9">
        <f t="shared" si="6"/>
        <v>1.3715728715728719</v>
      </c>
      <c r="I98">
        <v>52</v>
      </c>
      <c r="J98" t="s">
        <v>121</v>
      </c>
      <c r="K98" s="8" t="s">
        <v>85</v>
      </c>
      <c r="L98" s="9">
        <f t="shared" si="7"/>
        <v>1.2033205825374671</v>
      </c>
      <c r="BH98" s="38"/>
      <c r="BI98" s="38"/>
      <c r="BJ98" s="38"/>
      <c r="BL98"/>
      <c r="BM98"/>
      <c r="BN98"/>
    </row>
    <row r="99" spans="1:66" ht="15.75" customHeight="1" x14ac:dyDescent="0.2">
      <c r="A99" s="25" t="s">
        <v>125</v>
      </c>
      <c r="B99" s="42">
        <v>1.3411904761904762E-2</v>
      </c>
      <c r="C99" s="42">
        <v>1.2677777777777779E-2</v>
      </c>
      <c r="D99" s="42">
        <v>1.4758333333333333E-2</v>
      </c>
      <c r="E99" s="42">
        <v>1.5074999999999998E-2</v>
      </c>
      <c r="F99" s="9">
        <f t="shared" si="4"/>
        <v>1.250753631131817</v>
      </c>
      <c r="G99" s="9">
        <f t="shared" si="5"/>
        <v>1.3955870764381404</v>
      </c>
      <c r="H99" s="9">
        <f t="shared" si="6"/>
        <v>1.3051948051948052</v>
      </c>
      <c r="I99">
        <v>53</v>
      </c>
      <c r="J99" t="s">
        <v>121</v>
      </c>
      <c r="K99" s="8" t="s">
        <v>78</v>
      </c>
      <c r="L99" s="9">
        <f t="shared" si="7"/>
        <v>1.3171785042549209</v>
      </c>
      <c r="BH99" s="38"/>
      <c r="BI99" s="38"/>
      <c r="BJ99" s="38"/>
      <c r="BL99"/>
      <c r="BM99"/>
      <c r="BN99"/>
    </row>
    <row r="100" spans="1:66" ht="15.75" customHeight="1" x14ac:dyDescent="0.2">
      <c r="A100" s="25" t="s">
        <v>126</v>
      </c>
      <c r="B100" s="42">
        <v>1.8833333333333334E-2</v>
      </c>
      <c r="C100" s="42">
        <v>1.764722222222222E-2</v>
      </c>
      <c r="D100" s="42">
        <v>2.1625000000000002E-2</v>
      </c>
      <c r="E100" s="42">
        <v>2.4225000000000007E-2</v>
      </c>
      <c r="F100" s="9">
        <f t="shared" si="4"/>
        <v>1.7410249383392709</v>
      </c>
      <c r="G100" s="9">
        <f t="shared" si="5"/>
        <v>2.0449172576832155</v>
      </c>
      <c r="H100" s="9">
        <f t="shared" si="6"/>
        <v>2.0974025974025983</v>
      </c>
      <c r="I100">
        <v>54</v>
      </c>
      <c r="J100" t="s">
        <v>121</v>
      </c>
      <c r="K100" s="8" t="s">
        <v>78</v>
      </c>
      <c r="L100" s="9">
        <f t="shared" si="7"/>
        <v>1.9611149311416949</v>
      </c>
      <c r="BH100" s="38"/>
      <c r="BI100" s="38"/>
      <c r="BJ100" s="38"/>
      <c r="BL100"/>
      <c r="BM100"/>
      <c r="BN100"/>
    </row>
    <row r="101" spans="1:66" ht="15.75" customHeight="1" x14ac:dyDescent="0.2">
      <c r="A101" s="25" t="s">
        <v>17</v>
      </c>
      <c r="B101" s="42">
        <v>1.8428571428571437E-3</v>
      </c>
      <c r="C101" s="42">
        <v>3.6500000000000005E-3</v>
      </c>
      <c r="D101" s="42">
        <v>8.175E-3</v>
      </c>
      <c r="E101" s="42">
        <v>9.1083333333333329E-3</v>
      </c>
      <c r="F101" s="9">
        <f t="shared" si="4"/>
        <v>0.36009865716634698</v>
      </c>
      <c r="G101" s="9">
        <f t="shared" si="5"/>
        <v>0.77304964539007093</v>
      </c>
      <c r="H101" s="9">
        <f t="shared" si="6"/>
        <v>0.78860028860028875</v>
      </c>
      <c r="I101">
        <v>55</v>
      </c>
      <c r="J101" t="s">
        <v>121</v>
      </c>
      <c r="K101" s="8" t="s">
        <v>78</v>
      </c>
      <c r="L101" s="9">
        <f t="shared" si="7"/>
        <v>0.64058286371890227</v>
      </c>
      <c r="BH101" s="38"/>
      <c r="BI101" s="38"/>
      <c r="BJ101" s="38"/>
      <c r="BL101"/>
      <c r="BM101"/>
      <c r="BN101"/>
    </row>
    <row r="102" spans="1:66" ht="15.75" customHeight="1" x14ac:dyDescent="0.2">
      <c r="A102" s="25" t="s">
        <v>127</v>
      </c>
      <c r="B102" s="42">
        <v>1.2938095238095243E-2</v>
      </c>
      <c r="C102" s="42">
        <v>9.5222222222222219E-3</v>
      </c>
      <c r="D102" s="42">
        <v>1.0366666666666666E-2</v>
      </c>
      <c r="E102" s="42">
        <v>6.5750000000000001E-3</v>
      </c>
      <c r="F102" s="9">
        <f t="shared" si="4"/>
        <v>0.93943546177034798</v>
      </c>
      <c r="G102" s="9">
        <f t="shared" si="5"/>
        <v>0.98029944838455485</v>
      </c>
      <c r="H102" s="9">
        <f t="shared" si="6"/>
        <v>0.56926406926406936</v>
      </c>
      <c r="I102">
        <v>56</v>
      </c>
      <c r="J102" t="s">
        <v>121</v>
      </c>
      <c r="K102" s="8" t="s">
        <v>85</v>
      </c>
      <c r="L102" s="9">
        <f t="shared" si="7"/>
        <v>0.82966632647299077</v>
      </c>
      <c r="BH102" s="38"/>
      <c r="BI102" s="38"/>
      <c r="BJ102" s="38"/>
      <c r="BL102"/>
      <c r="BM102"/>
      <c r="BN102"/>
    </row>
    <row r="103" spans="1:66" ht="15.75" customHeight="1" x14ac:dyDescent="0.2">
      <c r="A103" s="25" t="s">
        <v>128</v>
      </c>
      <c r="B103" s="42">
        <v>1.2923809523809525E-2</v>
      </c>
      <c r="C103" s="42">
        <v>1.1305555555555557E-2</v>
      </c>
      <c r="D103" s="42">
        <v>1.0100000000000003E-2</v>
      </c>
      <c r="E103" s="42">
        <v>2.5750000000000005E-3</v>
      </c>
      <c r="F103" s="9">
        <f t="shared" si="4"/>
        <v>1.1153740750890655</v>
      </c>
      <c r="G103" s="9">
        <f t="shared" si="5"/>
        <v>0.95508274231678525</v>
      </c>
      <c r="H103" s="9">
        <f t="shared" si="6"/>
        <v>0.22294372294372303</v>
      </c>
      <c r="I103">
        <v>57</v>
      </c>
      <c r="J103" t="s">
        <v>121</v>
      </c>
      <c r="K103" s="8" t="s">
        <v>85</v>
      </c>
      <c r="L103" s="9">
        <f t="shared" si="7"/>
        <v>0.76446684678319121</v>
      </c>
      <c r="BH103" s="38"/>
      <c r="BI103" s="38"/>
      <c r="BJ103" s="38"/>
      <c r="BL103"/>
      <c r="BM103"/>
      <c r="BN103"/>
    </row>
    <row r="104" spans="1:66" ht="15.75" customHeight="1" x14ac:dyDescent="0.2">
      <c r="A104" s="25" t="s">
        <v>129</v>
      </c>
      <c r="B104" s="42">
        <v>6.364285714285719E-3</v>
      </c>
      <c r="C104" s="42">
        <v>-1.9166666666666614E-3</v>
      </c>
      <c r="D104" s="42">
        <v>4.9541666666666701E-3</v>
      </c>
      <c r="E104" s="42">
        <v>-4.491666666666669E-3</v>
      </c>
      <c r="F104" s="9">
        <f t="shared" si="4"/>
        <v>-0.18909290216497618</v>
      </c>
      <c r="G104" s="9">
        <f t="shared" si="5"/>
        <v>0.46847911741528797</v>
      </c>
      <c r="H104" s="9">
        <f t="shared" si="6"/>
        <v>-0.38888888888888917</v>
      </c>
      <c r="I104">
        <v>58</v>
      </c>
      <c r="J104" t="s">
        <v>121</v>
      </c>
      <c r="K104" s="8" t="s">
        <v>85</v>
      </c>
      <c r="L104" s="9">
        <f t="shared" si="7"/>
        <v>-3.650089121285912E-2</v>
      </c>
      <c r="BH104" s="38"/>
      <c r="BI104" s="38"/>
      <c r="BJ104" s="38"/>
      <c r="BL104"/>
      <c r="BM104"/>
      <c r="BN104"/>
    </row>
    <row r="105" spans="1:66" ht="15.75" customHeight="1" x14ac:dyDescent="0.2">
      <c r="A105" s="25" t="s">
        <v>130</v>
      </c>
      <c r="B105" s="42">
        <v>7.4380952380952358E-3</v>
      </c>
      <c r="C105" s="42">
        <v>4.9611111111111097E-3</v>
      </c>
      <c r="D105" s="42">
        <v>7.9291666666666642E-3</v>
      </c>
      <c r="E105" s="42">
        <v>7.8333333333333345E-3</v>
      </c>
      <c r="F105" s="9">
        <f t="shared" si="4"/>
        <v>0.48944916415456274</v>
      </c>
      <c r="G105" s="9">
        <f t="shared" si="5"/>
        <v>0.74980299448384535</v>
      </c>
      <c r="H105" s="9">
        <f t="shared" si="6"/>
        <v>0.67821067821067849</v>
      </c>
      <c r="I105">
        <v>59</v>
      </c>
      <c r="J105" t="s">
        <v>121</v>
      </c>
      <c r="K105" s="8" t="s">
        <v>85</v>
      </c>
      <c r="L105" s="9">
        <f t="shared" si="7"/>
        <v>0.63915427894969556</v>
      </c>
      <c r="BH105" s="38"/>
      <c r="BI105" s="38"/>
      <c r="BJ105" s="38"/>
      <c r="BL105"/>
      <c r="BM105"/>
      <c r="BN105"/>
    </row>
    <row r="106" spans="1:66" ht="15.75" customHeight="1" x14ac:dyDescent="0.2">
      <c r="A106" s="25" t="s">
        <v>17</v>
      </c>
      <c r="B106" s="42">
        <v>2.1464285714285714E-2</v>
      </c>
      <c r="C106" s="42">
        <v>2.0997222222222219E-2</v>
      </c>
      <c r="D106" s="42">
        <v>2.6866666666666667E-2</v>
      </c>
      <c r="E106" s="42">
        <v>2.5883333333333331E-2</v>
      </c>
      <c r="F106" s="9">
        <f t="shared" si="4"/>
        <v>2.0715264456015343</v>
      </c>
      <c r="G106" s="9">
        <f t="shared" si="5"/>
        <v>2.5405831363278173</v>
      </c>
      <c r="H106" s="9">
        <f t="shared" si="6"/>
        <v>2.2409812409812413</v>
      </c>
      <c r="I106">
        <v>60</v>
      </c>
      <c r="J106" t="s">
        <v>121</v>
      </c>
      <c r="K106" s="8" t="s">
        <v>85</v>
      </c>
      <c r="L106" s="9">
        <f t="shared" si="7"/>
        <v>2.2843636076368643</v>
      </c>
      <c r="BH106" s="38"/>
      <c r="BI106" s="38"/>
      <c r="BJ106" s="38"/>
      <c r="BL106"/>
      <c r="BM106"/>
      <c r="BN106"/>
    </row>
    <row r="107" spans="1:66" ht="15.75" customHeight="1" x14ac:dyDescent="0.2">
      <c r="A107" s="39" t="s">
        <v>190</v>
      </c>
      <c r="B107" s="42">
        <v>1.657619047619048E-2</v>
      </c>
      <c r="C107" s="42">
        <v>1.8094444444444451E-2</v>
      </c>
      <c r="D107" s="42">
        <v>1.1254166666666668E-2</v>
      </c>
      <c r="E107" s="42">
        <v>1.2591666666666666E-2</v>
      </c>
      <c r="F107" s="9">
        <f t="shared" si="4"/>
        <v>1.7851466155110995</v>
      </c>
      <c r="G107" s="9">
        <f t="shared" si="5"/>
        <v>1.0642237982663516</v>
      </c>
      <c r="H107" s="9">
        <f t="shared" si="6"/>
        <v>1.0901875901875904</v>
      </c>
      <c r="I107">
        <v>61</v>
      </c>
      <c r="J107" t="s">
        <v>121</v>
      </c>
      <c r="K107" s="8" t="s">
        <v>78</v>
      </c>
      <c r="L107" s="9">
        <f t="shared" si="7"/>
        <v>1.3131860013216805</v>
      </c>
      <c r="BH107" s="38"/>
      <c r="BI107" s="38"/>
      <c r="BJ107" s="38"/>
      <c r="BL107"/>
      <c r="BM107"/>
      <c r="BN107"/>
    </row>
    <row r="108" spans="1:66" ht="15.75" customHeight="1" x14ac:dyDescent="0.2">
      <c r="A108" s="39" t="s">
        <v>189</v>
      </c>
      <c r="B108" s="42">
        <v>2.5214285714285706E-2</v>
      </c>
      <c r="C108" s="42">
        <v>2.2808333333333333E-2</v>
      </c>
      <c r="D108" s="42">
        <v>1.6245833333333334E-2</v>
      </c>
      <c r="E108" s="42">
        <v>2.1566666666666668E-2</v>
      </c>
      <c r="F108" s="9">
        <f t="shared" si="4"/>
        <v>2.2502055357632229</v>
      </c>
      <c r="G108" s="9">
        <f t="shared" si="5"/>
        <v>1.5362490149724195</v>
      </c>
      <c r="H108" s="9">
        <f t="shared" si="6"/>
        <v>1.8672438672438678</v>
      </c>
      <c r="I108">
        <v>62</v>
      </c>
      <c r="J108" t="s">
        <v>121</v>
      </c>
      <c r="K108" s="8" t="s">
        <v>78</v>
      </c>
      <c r="L108" s="9">
        <f t="shared" si="7"/>
        <v>1.8845661393265034</v>
      </c>
      <c r="BH108" s="38"/>
      <c r="BI108" s="38"/>
      <c r="BJ108" s="38"/>
      <c r="BL108"/>
      <c r="BM108"/>
      <c r="BN108"/>
    </row>
    <row r="109" spans="1:66" ht="15.75" customHeight="1" x14ac:dyDescent="0.2">
      <c r="A109" s="39" t="s">
        <v>188</v>
      </c>
      <c r="B109" s="42">
        <v>1.5135714285714284E-2</v>
      </c>
      <c r="C109" s="42">
        <v>1.7155555555555552E-2</v>
      </c>
      <c r="D109" s="42">
        <v>1.2058333333333331E-2</v>
      </c>
      <c r="E109" s="42">
        <v>1.3666666666666667E-2</v>
      </c>
      <c r="F109" s="9">
        <f t="shared" si="4"/>
        <v>1.6925184982186896</v>
      </c>
      <c r="G109" s="9">
        <f t="shared" si="5"/>
        <v>1.1402679275019698</v>
      </c>
      <c r="H109" s="9">
        <f t="shared" si="6"/>
        <v>1.1832611832611835</v>
      </c>
      <c r="I109">
        <v>63</v>
      </c>
      <c r="J109" t="s">
        <v>121</v>
      </c>
      <c r="K109" s="8" t="s">
        <v>78</v>
      </c>
      <c r="L109" s="9">
        <f t="shared" si="7"/>
        <v>1.338682536327281</v>
      </c>
      <c r="BH109" s="38"/>
      <c r="BI109" s="38"/>
      <c r="BJ109" s="38"/>
      <c r="BL109"/>
      <c r="BM109"/>
      <c r="BN109"/>
    </row>
    <row r="110" spans="1:66" ht="15.75" customHeight="1" x14ac:dyDescent="0.2">
      <c r="A110" s="40" t="s">
        <v>187</v>
      </c>
      <c r="B110" s="42">
        <v>1.0169047619047619E-2</v>
      </c>
      <c r="C110" s="42">
        <v>1.0108333333333332E-2</v>
      </c>
      <c r="D110" s="42">
        <v>1.0537499999999998E-2</v>
      </c>
      <c r="E110" s="42">
        <v>1.150833333333333E-2</v>
      </c>
      <c r="F110" s="9">
        <f t="shared" si="4"/>
        <v>0.99725952315702915</v>
      </c>
      <c r="G110" s="9">
        <f t="shared" si="5"/>
        <v>0.9964539007092198</v>
      </c>
      <c r="H110" s="9">
        <f t="shared" si="6"/>
        <v>0.99639249639249639</v>
      </c>
      <c r="I110">
        <v>64</v>
      </c>
      <c r="J110" t="s">
        <v>84</v>
      </c>
      <c r="K110" s="8" t="s">
        <v>78</v>
      </c>
      <c r="L110" s="9">
        <f t="shared" si="7"/>
        <v>0.99670197341958178</v>
      </c>
      <c r="BH110" s="38"/>
      <c r="BI110" s="38"/>
      <c r="BJ110" s="38"/>
      <c r="BL110"/>
      <c r="BM110"/>
      <c r="BN110"/>
    </row>
    <row r="111" spans="1:66" ht="15.75" customHeight="1" x14ac:dyDescent="0.2">
      <c r="BH111" s="38"/>
      <c r="BI111" s="38"/>
      <c r="BJ111" s="38"/>
      <c r="BL111"/>
      <c r="BM111"/>
      <c r="BN111"/>
    </row>
  </sheetData>
  <autoFilter ref="A47:L110" xr:uid="{00000000-0001-0000-0500-000000000000}">
    <filterColumn colId="10">
      <filters>
        <filter val="Geral"/>
        <filter val="IQ"/>
      </filters>
    </filterColumn>
    <sortState xmlns:xlrd2="http://schemas.microsoft.com/office/spreadsheetml/2017/richdata2" ref="A48:L110">
      <sortCondition ref="I47:I110"/>
    </sortState>
  </autoFilter>
  <mergeCells count="4">
    <mergeCell ref="C1:G1"/>
    <mergeCell ref="H1:Y1"/>
    <mergeCell ref="Z1:AV1"/>
    <mergeCell ref="AW1:BI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79"/>
  <sheetViews>
    <sheetView topLeftCell="P30" zoomScaleNormal="100" workbookViewId="0">
      <selection activeCell="AI27" sqref="AI27"/>
    </sheetView>
  </sheetViews>
  <sheetFormatPr baseColWidth="10" defaultColWidth="10.5" defaultRowHeight="15.75" customHeight="1" x14ac:dyDescent="0.2"/>
  <cols>
    <col min="28" max="28" width="15" customWidth="1"/>
    <col min="29" max="29" width="19.1640625" customWidth="1"/>
    <col min="30" max="30" width="19.5" customWidth="1"/>
  </cols>
  <sheetData>
    <row r="1" spans="1:32" ht="15.75" customHeight="1" x14ac:dyDescent="0.2">
      <c r="A1" s="8"/>
      <c r="B1" s="26" t="s">
        <v>66</v>
      </c>
      <c r="C1" s="44" t="s">
        <v>131</v>
      </c>
      <c r="D1" s="44"/>
      <c r="E1" s="44"/>
      <c r="F1" s="44"/>
      <c r="G1" s="44"/>
    </row>
    <row r="2" spans="1:32" ht="36" customHeight="1" x14ac:dyDescent="0.2">
      <c r="A2" s="8" t="s">
        <v>136</v>
      </c>
      <c r="B2" s="20" t="s">
        <v>66</v>
      </c>
      <c r="C2" s="21" t="s">
        <v>40</v>
      </c>
      <c r="D2" s="21" t="s">
        <v>80</v>
      </c>
      <c r="E2" s="21" t="s">
        <v>81</v>
      </c>
      <c r="F2" s="21" t="s">
        <v>82</v>
      </c>
      <c r="G2" s="21" t="s">
        <v>83</v>
      </c>
      <c r="H2" s="27" t="s">
        <v>24</v>
      </c>
      <c r="I2" s="27" t="s">
        <v>25</v>
      </c>
      <c r="J2" s="27" t="s">
        <v>186</v>
      </c>
      <c r="K2" s="27" t="s">
        <v>141</v>
      </c>
      <c r="L2" s="27" t="s">
        <v>27</v>
      </c>
      <c r="M2" s="27" t="s">
        <v>144</v>
      </c>
      <c r="N2" s="27" t="s">
        <v>28</v>
      </c>
      <c r="O2" s="28" t="s">
        <v>59</v>
      </c>
      <c r="P2" s="28" t="s">
        <v>152</v>
      </c>
      <c r="Q2" s="28" t="s">
        <v>155</v>
      </c>
      <c r="R2" s="28" t="s">
        <v>161</v>
      </c>
      <c r="S2" s="28" t="s">
        <v>61</v>
      </c>
      <c r="T2" s="28" t="s">
        <v>166</v>
      </c>
      <c r="U2" s="28" t="s">
        <v>30</v>
      </c>
      <c r="V2" s="28" t="s">
        <v>170</v>
      </c>
      <c r="W2" s="29" t="s">
        <v>175</v>
      </c>
      <c r="X2" s="29" t="s">
        <v>32</v>
      </c>
      <c r="Y2" s="29" t="s">
        <v>177</v>
      </c>
      <c r="Z2" s="29" t="s">
        <v>178</v>
      </c>
      <c r="AA2" s="29" t="s">
        <v>182</v>
      </c>
      <c r="AB2" s="36" t="s">
        <v>190</v>
      </c>
      <c r="AC2" s="36" t="s">
        <v>189</v>
      </c>
      <c r="AD2" s="36" t="s">
        <v>188</v>
      </c>
      <c r="AE2" s="37" t="s">
        <v>187</v>
      </c>
      <c r="AF2" s="37" t="s">
        <v>194</v>
      </c>
    </row>
    <row r="3" spans="1:32" ht="15.75" customHeight="1" x14ac:dyDescent="0.2">
      <c r="A3" s="8">
        <v>1</v>
      </c>
      <c r="B3" s="30">
        <v>44927</v>
      </c>
      <c r="C3" s="31">
        <v>1.12E-2</v>
      </c>
      <c r="D3" s="31">
        <v>5.3E-3</v>
      </c>
      <c r="E3" s="31">
        <v>1.12E-2</v>
      </c>
      <c r="F3" s="31">
        <v>3.3700000000000001E-2</v>
      </c>
      <c r="G3" s="31">
        <v>-2.2700000000000001E-2</v>
      </c>
      <c r="H3" s="31">
        <v>1.12E-2</v>
      </c>
      <c r="I3" s="32">
        <v>1.12E-2</v>
      </c>
      <c r="J3" s="31">
        <v>1.09E-2</v>
      </c>
      <c r="K3" s="31">
        <v>1.11E-2</v>
      </c>
      <c r="L3" s="31">
        <v>1.0999999999999999E-2</v>
      </c>
      <c r="M3" s="31">
        <v>-1.5599999999999999E-2</v>
      </c>
      <c r="N3" s="31">
        <v>6.4999999999999997E-3</v>
      </c>
      <c r="O3" s="31">
        <v>4.5999999999999999E-3</v>
      </c>
      <c r="P3" s="32">
        <v>1.12E-2</v>
      </c>
      <c r="Q3" s="31">
        <v>4.2500000000000003E-2</v>
      </c>
      <c r="R3" s="31">
        <v>-1.4E-3</v>
      </c>
      <c r="S3" s="31">
        <v>1.12E-2</v>
      </c>
      <c r="T3" s="31">
        <v>2.6499999999999999E-2</v>
      </c>
      <c r="U3" s="31">
        <v>2.3199999999999998E-2</v>
      </c>
      <c r="V3" s="31">
        <v>2.0500000000000001E-2</v>
      </c>
      <c r="W3" s="31">
        <v>4.6600000000000003E-2</v>
      </c>
      <c r="X3" s="31">
        <v>7.2999999999999995E-2</v>
      </c>
      <c r="Y3" s="31">
        <v>4.07E-2</v>
      </c>
      <c r="Z3" s="31">
        <v>2.4199999999999999E-2</v>
      </c>
      <c r="AA3" s="31">
        <v>2.3800000000000002E-2</v>
      </c>
      <c r="AB3" s="9">
        <v>1.4200000000000001E-2</v>
      </c>
      <c r="AC3" s="9">
        <v>6.2E-2</v>
      </c>
      <c r="AD3" s="9">
        <v>2.81E-2</v>
      </c>
      <c r="AE3" s="9">
        <v>1.12E-2</v>
      </c>
      <c r="AF3" s="9">
        <v>5.3800000000000001E-2</v>
      </c>
    </row>
    <row r="4" spans="1:32" ht="15.75" customHeight="1" x14ac:dyDescent="0.2">
      <c r="A4" s="8">
        <v>2</v>
      </c>
      <c r="B4" s="30">
        <v>44958</v>
      </c>
      <c r="C4" s="33">
        <v>9.1999999999999998E-3</v>
      </c>
      <c r="D4" s="33">
        <v>8.3999999999999995E-3</v>
      </c>
      <c r="E4" s="33">
        <v>9.1999999999999998E-3</v>
      </c>
      <c r="F4" s="33">
        <v>-7.4899999999999994E-2</v>
      </c>
      <c r="G4" s="33">
        <v>2.1299999999999999E-2</v>
      </c>
      <c r="H4" s="33">
        <v>9.1999999999999998E-3</v>
      </c>
      <c r="I4" s="32">
        <v>9.1999999999999998E-3</v>
      </c>
      <c r="J4" s="33">
        <v>1.0200000000000001E-2</v>
      </c>
      <c r="K4" s="33">
        <v>6.1000000000000004E-3</v>
      </c>
      <c r="L4" s="33">
        <v>8.3000000000000001E-3</v>
      </c>
      <c r="M4" s="33">
        <v>3.5999999999999999E-3</v>
      </c>
      <c r="N4" s="33">
        <v>3.8999999999999998E-3</v>
      </c>
      <c r="O4" s="33">
        <v>-7.9000000000000008E-3</v>
      </c>
      <c r="P4" s="32">
        <v>9.1999999999999998E-3</v>
      </c>
      <c r="Q4" s="33">
        <v>2.1399999999999999E-2</v>
      </c>
      <c r="R4" s="33">
        <v>2.2800000000000001E-2</v>
      </c>
      <c r="S4" s="33">
        <v>6.1999999999999998E-3</v>
      </c>
      <c r="T4" s="33">
        <v>2.9999999999999997E-4</v>
      </c>
      <c r="U4" s="33">
        <v>-2.3599999999999999E-2</v>
      </c>
      <c r="V4" s="33">
        <v>-9.6299999999999997E-2</v>
      </c>
      <c r="W4" s="33">
        <v>-4.7899999999999998E-2</v>
      </c>
      <c r="X4" s="33">
        <v>1.5699999999999999E-2</v>
      </c>
      <c r="Y4" s="33">
        <v>-0.10829999999999999</v>
      </c>
      <c r="Z4" s="33">
        <v>-4.3799999999999999E-2</v>
      </c>
      <c r="AA4" s="33">
        <v>-2.3699999999999999E-2</v>
      </c>
      <c r="AB4" s="9">
        <v>4.7999999999999996E-3</v>
      </c>
      <c r="AC4" s="9">
        <v>2.69E-2</v>
      </c>
      <c r="AD4" s="9">
        <v>0</v>
      </c>
      <c r="AE4" s="9">
        <v>9.1999999999999998E-3</v>
      </c>
      <c r="AF4" s="9">
        <v>-7.51E-2</v>
      </c>
    </row>
    <row r="5" spans="1:32" ht="15.75" customHeight="1" x14ac:dyDescent="0.2">
      <c r="A5" s="8">
        <v>3</v>
      </c>
      <c r="B5" s="30">
        <v>44986</v>
      </c>
      <c r="C5" s="31">
        <v>1.17E-2</v>
      </c>
      <c r="D5" s="31">
        <v>7.1000000000000004E-3</v>
      </c>
      <c r="E5" s="31">
        <v>1.17E-2</v>
      </c>
      <c r="F5" s="31">
        <v>-2.9100000000000001E-2</v>
      </c>
      <c r="G5" s="31">
        <v>-2.4500000000000001E-2</v>
      </c>
      <c r="H5" s="31">
        <v>1.17E-2</v>
      </c>
      <c r="I5" s="32">
        <v>1.17E-2</v>
      </c>
      <c r="J5" s="31">
        <v>1.38E-2</v>
      </c>
      <c r="K5" s="31">
        <v>1.14E-2</v>
      </c>
      <c r="L5" s="31">
        <v>1.1900000000000001E-2</v>
      </c>
      <c r="M5" s="31">
        <v>0.01</v>
      </c>
      <c r="N5" s="31">
        <v>5.7000000000000002E-3</v>
      </c>
      <c r="O5" s="31">
        <v>8.8000000000000005E-3</v>
      </c>
      <c r="P5" s="32">
        <v>1.17E-2</v>
      </c>
      <c r="Q5" s="31">
        <v>2.23E-2</v>
      </c>
      <c r="R5" s="31">
        <v>-9.4999999999999998E-3</v>
      </c>
      <c r="S5" s="31">
        <v>1.15E-2</v>
      </c>
      <c r="T5" s="31">
        <v>-4.4000000000000003E-3</v>
      </c>
      <c r="U5" s="31">
        <v>-1.11E-2</v>
      </c>
      <c r="V5" s="31">
        <v>-4.5600000000000002E-2</v>
      </c>
      <c r="W5" s="31">
        <v>-6.1899999999999997E-2</v>
      </c>
      <c r="X5" s="31">
        <v>-3.4700000000000002E-2</v>
      </c>
      <c r="Y5" s="31">
        <v>-6.6199999999999995E-2</v>
      </c>
      <c r="Z5" s="31">
        <v>-2.4199999999999999E-2</v>
      </c>
      <c r="AA5" s="31">
        <v>-1.24E-2</v>
      </c>
      <c r="AB5" s="9">
        <v>2E-3</v>
      </c>
      <c r="AC5" s="9">
        <v>6.0299999999999999E-2</v>
      </c>
      <c r="AD5" s="9">
        <v>-8.8000000000000005E-3</v>
      </c>
      <c r="AE5" s="9">
        <v>1.17E-2</v>
      </c>
      <c r="AF5" s="9">
        <v>-1.6799999999999999E-2</v>
      </c>
    </row>
    <row r="6" spans="1:32" ht="15.75" customHeight="1" x14ac:dyDescent="0.2">
      <c r="A6" s="8">
        <v>4</v>
      </c>
      <c r="B6" s="30">
        <v>45017</v>
      </c>
      <c r="C6" s="32">
        <v>9.1999999999999998E-3</v>
      </c>
      <c r="D6" s="32">
        <v>6.1000000000000004E-3</v>
      </c>
      <c r="E6" s="32">
        <v>9.1999999999999998E-3</v>
      </c>
      <c r="F6" s="32">
        <v>2.5000000000000001E-2</v>
      </c>
      <c r="G6" s="32">
        <v>-1.5699999999999999E-2</v>
      </c>
      <c r="H6" s="32">
        <v>9.1999999999999998E-3</v>
      </c>
      <c r="I6" s="32">
        <v>9.1999999999999998E-3</v>
      </c>
      <c r="J6" s="32">
        <v>1.0800000000000001E-2</v>
      </c>
      <c r="K6" s="32">
        <v>0.01</v>
      </c>
      <c r="L6" s="32">
        <v>8.6E-3</v>
      </c>
      <c r="M6" s="32">
        <v>1.04E-2</v>
      </c>
      <c r="N6" s="32">
        <v>9.9000000000000008E-3</v>
      </c>
      <c r="O6" s="32">
        <v>4.3E-3</v>
      </c>
      <c r="P6" s="32">
        <v>9.1999999999999998E-3</v>
      </c>
      <c r="Q6" s="32">
        <v>1.21E-2</v>
      </c>
      <c r="R6" s="32">
        <v>8.3999999999999995E-3</v>
      </c>
      <c r="S6" s="32">
        <v>0.01</v>
      </c>
      <c r="T6" s="32">
        <v>-6.9999999999999999E-4</v>
      </c>
      <c r="U6" s="32">
        <v>2.1299999999999999E-2</v>
      </c>
      <c r="V6" s="32">
        <v>3.0300000000000001E-2</v>
      </c>
      <c r="W6" s="32">
        <v>-3.8E-3</v>
      </c>
      <c r="X6" s="32">
        <v>-3.5299999999999998E-2</v>
      </c>
      <c r="Y6" s="32">
        <v>-2.7400000000000001E-2</v>
      </c>
      <c r="Z6" s="32">
        <v>5.28E-2</v>
      </c>
      <c r="AA6" s="32">
        <v>2.8799999999999999E-2</v>
      </c>
      <c r="AB6" s="9">
        <v>0</v>
      </c>
      <c r="AC6" s="9">
        <v>-1.0699999999999999E-2</v>
      </c>
      <c r="AD6" s="9">
        <v>-1.1000000000000001E-3</v>
      </c>
      <c r="AE6" s="9">
        <v>9.1999999999999998E-3</v>
      </c>
      <c r="AF6" s="9">
        <v>3.5999999999999997E-2</v>
      </c>
    </row>
    <row r="7" spans="1:32" ht="15.75" customHeight="1" x14ac:dyDescent="0.2">
      <c r="A7" s="8">
        <v>5</v>
      </c>
      <c r="B7" s="30">
        <v>45047</v>
      </c>
      <c r="C7" s="31">
        <v>1.12E-2</v>
      </c>
      <c r="D7" s="31">
        <v>2.3E-3</v>
      </c>
      <c r="E7" s="31">
        <v>1.12E-2</v>
      </c>
      <c r="F7" s="31">
        <v>3.7400000000000003E-2</v>
      </c>
      <c r="G7" s="31">
        <v>1.9E-2</v>
      </c>
      <c r="H7" s="31">
        <v>1.12E-2</v>
      </c>
      <c r="I7" s="32">
        <v>1.12E-2</v>
      </c>
      <c r="J7" s="31">
        <v>1.38E-2</v>
      </c>
      <c r="K7" s="31">
        <v>1.4200000000000001E-2</v>
      </c>
      <c r="L7" s="31">
        <v>1.26E-2</v>
      </c>
      <c r="M7" s="31">
        <v>1.37E-2</v>
      </c>
      <c r="N7" s="31">
        <v>8.3000000000000001E-3</v>
      </c>
      <c r="O7" s="31">
        <v>2.93E-2</v>
      </c>
      <c r="P7" s="32">
        <v>1.12E-2</v>
      </c>
      <c r="Q7" s="31">
        <v>1.7299999999999999E-2</v>
      </c>
      <c r="R7" s="31">
        <v>2.06E-2</v>
      </c>
      <c r="S7" s="31">
        <v>1.4200000000000001E-2</v>
      </c>
      <c r="T7" s="31">
        <v>8.5000000000000006E-3</v>
      </c>
      <c r="U7" s="31">
        <v>1.9E-2</v>
      </c>
      <c r="V7" s="31" t="s">
        <v>195</v>
      </c>
      <c r="W7" s="31">
        <v>0.12</v>
      </c>
      <c r="X7" s="31">
        <v>7.8399999999999997E-2</v>
      </c>
      <c r="Y7" s="31">
        <v>5.8700000000000002E-2</v>
      </c>
      <c r="Z7" s="31">
        <v>8.9200000000000002E-2</v>
      </c>
      <c r="AA7" s="31">
        <v>3.5000000000000003E-2</v>
      </c>
      <c r="AB7" s="9">
        <v>1.52E-2</v>
      </c>
      <c r="AC7" s="9">
        <v>9.4399999999999998E-2</v>
      </c>
      <c r="AD7" s="9">
        <v>5.4000000000000003E-3</v>
      </c>
      <c r="AE7" s="9">
        <v>1.12E-2</v>
      </c>
      <c r="AF7" s="9">
        <v>1.47E-2</v>
      </c>
    </row>
    <row r="8" spans="1:32" ht="15.75" customHeight="1" x14ac:dyDescent="0.2">
      <c r="A8" s="8">
        <v>6</v>
      </c>
      <c r="B8" s="30">
        <v>45078</v>
      </c>
      <c r="C8" s="33">
        <v>1.0699999999999999E-2</v>
      </c>
      <c r="D8" s="33">
        <v>-8.0000000000000004E-4</v>
      </c>
      <c r="E8" s="33">
        <v>1.0699999999999999E-2</v>
      </c>
      <c r="F8" s="33">
        <v>0.09</v>
      </c>
      <c r="G8" s="33">
        <v>-5.4300000000000001E-2</v>
      </c>
      <c r="H8" s="33">
        <v>1.0699999999999999E-2</v>
      </c>
      <c r="I8" s="32">
        <v>1.0699999999999999E-2</v>
      </c>
      <c r="J8" s="33">
        <v>1.32E-2</v>
      </c>
      <c r="K8" s="33">
        <v>1.24E-2</v>
      </c>
      <c r="L8" s="33">
        <v>1.24E-2</v>
      </c>
      <c r="M8" s="33">
        <v>1.4999999999999999E-2</v>
      </c>
      <c r="N8" s="33">
        <v>8.0999999999999996E-3</v>
      </c>
      <c r="O8" s="33">
        <v>2.3400000000000001E-2</v>
      </c>
      <c r="P8" s="32">
        <v>1.0699999999999999E-2</v>
      </c>
      <c r="Q8" s="33">
        <v>1.2500000000000001E-2</v>
      </c>
      <c r="R8" s="33">
        <v>2.5000000000000001E-3</v>
      </c>
      <c r="S8" s="33">
        <v>1.24E-2</v>
      </c>
      <c r="T8" s="33">
        <v>1.5800000000000002E-2</v>
      </c>
      <c r="U8" s="33">
        <v>5.9400000000000001E-2</v>
      </c>
      <c r="V8" s="33">
        <v>8.8099999999999998E-2</v>
      </c>
      <c r="W8" s="33">
        <v>8.2400000000000001E-2</v>
      </c>
      <c r="X8" s="33">
        <v>5.8599999999999999E-2</v>
      </c>
      <c r="Y8" s="33">
        <v>4.8500000000000001E-2</v>
      </c>
      <c r="Z8" s="33">
        <v>0.1024</v>
      </c>
      <c r="AA8" s="33">
        <v>9.4100000000000003E-2</v>
      </c>
      <c r="AB8" s="9">
        <v>8.6E-3</v>
      </c>
      <c r="AC8" s="9">
        <v>5.0000000000000001E-3</v>
      </c>
      <c r="AD8" s="9">
        <v>-5.4999999999999997E-3</v>
      </c>
      <c r="AE8" s="9">
        <v>1.0699999999999999E-2</v>
      </c>
      <c r="AF8" s="9">
        <v>8.2900000000000001E-2</v>
      </c>
    </row>
    <row r="9" spans="1:32" ht="15.75" customHeight="1" x14ac:dyDescent="0.2">
      <c r="A9" s="8">
        <v>7</v>
      </c>
      <c r="B9" s="30">
        <v>45108</v>
      </c>
      <c r="C9" s="31">
        <v>1.0699999999999999E-2</v>
      </c>
      <c r="D9" s="31">
        <v>1.1999999999999999E-3</v>
      </c>
      <c r="E9" s="31">
        <v>1.0699999999999999E-2</v>
      </c>
      <c r="F9" s="31">
        <v>3.27E-2</v>
      </c>
      <c r="G9" s="31">
        <v>-1.61E-2</v>
      </c>
      <c r="H9" s="31">
        <v>1.0699999999999999E-2</v>
      </c>
      <c r="I9" s="32">
        <v>1.0699999999999999E-2</v>
      </c>
      <c r="J9" s="31">
        <v>1.26E-2</v>
      </c>
      <c r="K9" s="31">
        <v>1.35E-2</v>
      </c>
      <c r="L9" s="31">
        <v>1.23E-2</v>
      </c>
      <c r="M9" s="31">
        <v>1.2500000000000001E-2</v>
      </c>
      <c r="N9" s="31">
        <v>1.3599999999999999E-2</v>
      </c>
      <c r="O9" s="31">
        <v>2.2499999999999999E-2</v>
      </c>
      <c r="P9" s="32">
        <v>1.0699999999999999E-2</v>
      </c>
      <c r="Q9" s="31">
        <v>4.0099999999999997E-2</v>
      </c>
      <c r="R9" s="31">
        <v>1.4800000000000001E-2</v>
      </c>
      <c r="S9" s="31">
        <v>1.35E-2</v>
      </c>
      <c r="T9" s="31">
        <v>2.1899999999999999E-2</v>
      </c>
      <c r="U9" s="31">
        <v>3.0800000000000001E-2</v>
      </c>
      <c r="V9" s="31">
        <v>2.87E-2</v>
      </c>
      <c r="W9" s="31">
        <v>4.8300000000000003E-2</v>
      </c>
      <c r="X9" s="31">
        <v>7.9899999999999999E-2</v>
      </c>
      <c r="Y9" s="31">
        <v>2.81E-2</v>
      </c>
      <c r="Z9" s="31">
        <v>3.4299999999999997E-2</v>
      </c>
      <c r="AA9" s="31">
        <v>3.15E-2</v>
      </c>
      <c r="AB9" s="9">
        <v>1.9400000000000001E-2</v>
      </c>
      <c r="AC9" s="9">
        <v>2.47E-2</v>
      </c>
      <c r="AD9" s="9">
        <v>2.8899999999999999E-2</v>
      </c>
      <c r="AE9" s="9">
        <v>1.0699999999999999E-2</v>
      </c>
      <c r="AF9" s="9">
        <v>2.9399999999999999E-2</v>
      </c>
    </row>
    <row r="10" spans="1:32" ht="15.75" customHeight="1" x14ac:dyDescent="0.2">
      <c r="A10" s="8">
        <v>8</v>
      </c>
      <c r="B10" s="30">
        <v>45139</v>
      </c>
      <c r="C10" s="33">
        <v>1.14E-2</v>
      </c>
      <c r="D10" s="33">
        <v>2.3E-3</v>
      </c>
      <c r="E10" s="33">
        <v>1.14E-2</v>
      </c>
      <c r="F10" s="33">
        <v>-5.0900000000000001E-2</v>
      </c>
      <c r="G10" s="33">
        <v>3.7999999999999999E-2</v>
      </c>
      <c r="H10" s="33">
        <v>1.14E-2</v>
      </c>
      <c r="I10" s="32">
        <v>1.14E-2</v>
      </c>
      <c r="J10" s="33">
        <v>1.32E-2</v>
      </c>
      <c r="K10" s="33">
        <v>1.6299999999999999E-2</v>
      </c>
      <c r="L10" s="33">
        <v>1.34E-2</v>
      </c>
      <c r="M10" s="33">
        <v>1.5599999999999999E-2</v>
      </c>
      <c r="N10" s="33">
        <v>1.35E-2</v>
      </c>
      <c r="O10" s="33">
        <v>0.02</v>
      </c>
      <c r="P10" s="32">
        <v>1.14E-2</v>
      </c>
      <c r="Q10" s="33">
        <v>1.95E-2</v>
      </c>
      <c r="R10" s="33">
        <v>5.4999999999999997E-3</v>
      </c>
      <c r="S10" s="33">
        <v>1.6299999999999999E-2</v>
      </c>
      <c r="T10" s="33">
        <v>-2.9999999999999997E-4</v>
      </c>
      <c r="U10" s="33">
        <v>-2.76E-2</v>
      </c>
      <c r="V10" s="33">
        <v>-4.0800000000000003E-2</v>
      </c>
      <c r="W10" s="33">
        <v>-6.5100000000000005E-2</v>
      </c>
      <c r="X10" s="33">
        <v>1.12E-2</v>
      </c>
      <c r="Y10" s="33">
        <v>-4.7100000000000003E-2</v>
      </c>
      <c r="Z10" s="33">
        <v>-3.8300000000000001E-2</v>
      </c>
      <c r="AA10" s="33">
        <v>-3.4500000000000003E-2</v>
      </c>
      <c r="AB10" s="9">
        <v>3.2599999999999997E-2</v>
      </c>
      <c r="AC10" s="9">
        <v>3.0800000000000001E-2</v>
      </c>
      <c r="AD10" s="9">
        <v>3.1300000000000001E-2</v>
      </c>
      <c r="AE10" s="9">
        <v>1.14E-2</v>
      </c>
      <c r="AF10" s="9">
        <v>-2.7300000000000001E-2</v>
      </c>
    </row>
    <row r="11" spans="1:32" ht="15.75" customHeight="1" x14ac:dyDescent="0.2">
      <c r="A11" s="8">
        <v>9</v>
      </c>
      <c r="B11" s="30">
        <v>45170</v>
      </c>
      <c r="C11" s="31">
        <v>9.7000000000000003E-3</v>
      </c>
      <c r="D11" s="31">
        <v>2.5999999999999999E-3</v>
      </c>
      <c r="E11" s="31">
        <v>9.7000000000000003E-3</v>
      </c>
      <c r="F11" s="31">
        <v>7.1000000000000004E-3</v>
      </c>
      <c r="G11" s="31">
        <v>1.7399999999999999E-2</v>
      </c>
      <c r="H11" s="31">
        <v>9.7000000000000003E-3</v>
      </c>
      <c r="I11" s="32">
        <v>9.7000000000000003E-3</v>
      </c>
      <c r="J11" s="31">
        <v>1.1299999999999999E-2</v>
      </c>
      <c r="K11" s="31">
        <v>1.21E-2</v>
      </c>
      <c r="L11" s="31">
        <v>1.06E-2</v>
      </c>
      <c r="M11" s="31">
        <v>1.17E-2</v>
      </c>
      <c r="N11" s="31">
        <v>1.35E-2</v>
      </c>
      <c r="O11" s="31">
        <v>1.0800000000000001E-2</v>
      </c>
      <c r="P11" s="32">
        <v>9.7000000000000003E-3</v>
      </c>
      <c r="Q11" s="31">
        <v>2.7300000000000001E-2</v>
      </c>
      <c r="R11" s="31">
        <v>2.23E-2</v>
      </c>
      <c r="S11" s="31">
        <v>1.21E-2</v>
      </c>
      <c r="T11" s="31">
        <v>8.2000000000000007E-3</v>
      </c>
      <c r="U11" s="31">
        <v>-1.2999999999999999E-2</v>
      </c>
      <c r="V11" s="31">
        <v>-1.9099999999999999E-2</v>
      </c>
      <c r="W11" s="31">
        <v>-9.1999999999999998E-3</v>
      </c>
      <c r="X11" s="31">
        <v>-9.4000000000000004E-3</v>
      </c>
      <c r="Y11" s="31">
        <v>-6.4999999999999997E-3</v>
      </c>
      <c r="Z11" s="31">
        <v>5.5999999999999999E-3</v>
      </c>
      <c r="AA11" s="31">
        <v>2.9999999999999997E-4</v>
      </c>
      <c r="AB11" s="9">
        <v>-3.5799999999999998E-2</v>
      </c>
      <c r="AC11" s="9">
        <v>-3.73E-2</v>
      </c>
      <c r="AD11" s="9">
        <v>-4.2200000000000001E-2</v>
      </c>
      <c r="AE11" s="9">
        <v>9.7000000000000003E-3</v>
      </c>
      <c r="AF11" s="9">
        <v>1.17E-2</v>
      </c>
    </row>
    <row r="12" spans="1:32" ht="15.75" customHeight="1" x14ac:dyDescent="0.2">
      <c r="A12" s="8">
        <v>10</v>
      </c>
      <c r="B12" s="30">
        <v>45200</v>
      </c>
      <c r="C12" s="33">
        <v>0.01</v>
      </c>
      <c r="D12" s="33">
        <v>2.3999999999999998E-3</v>
      </c>
      <c r="E12" s="33">
        <v>0.01</v>
      </c>
      <c r="F12" s="33">
        <v>-2.9399999999999999E-2</v>
      </c>
      <c r="G12" s="33">
        <v>0.01</v>
      </c>
      <c r="H12" s="33">
        <v>0.01</v>
      </c>
      <c r="I12" s="33">
        <v>1.34E-2</v>
      </c>
      <c r="J12" s="33">
        <v>5.0000000000000001E-3</v>
      </c>
      <c r="K12" s="33">
        <v>1.14E-2</v>
      </c>
      <c r="L12" s="33">
        <v>1.0699999999999999E-2</v>
      </c>
      <c r="M12" s="33">
        <v>3.8999999999999998E-3</v>
      </c>
      <c r="N12" s="33">
        <v>9.9000000000000008E-3</v>
      </c>
      <c r="O12" s="33">
        <v>1.29E-2</v>
      </c>
      <c r="P12" s="32">
        <v>0.01</v>
      </c>
      <c r="Q12" s="33">
        <v>4.7000000000000002E-3</v>
      </c>
      <c r="R12" s="33">
        <v>1.1900000000000001E-2</v>
      </c>
      <c r="S12" s="33">
        <v>1.14E-2</v>
      </c>
      <c r="T12" s="33">
        <v>-4.7000000000000002E-3</v>
      </c>
      <c r="U12" s="33">
        <v>-1.7500000000000002E-2</v>
      </c>
      <c r="V12" s="33">
        <v>-6.9699999999999998E-2</v>
      </c>
      <c r="W12" s="33">
        <v>-5.0500000000000003E-2</v>
      </c>
      <c r="X12" s="33">
        <v>-9.7100000000000006E-2</v>
      </c>
      <c r="Y12" s="33">
        <v>-6.3600000000000004E-2</v>
      </c>
      <c r="Z12" s="33">
        <v>-2.81E-2</v>
      </c>
      <c r="AA12" s="33">
        <v>-5.7000000000000002E-3</v>
      </c>
      <c r="AB12" s="9">
        <v>-2.01E-2</v>
      </c>
      <c r="AC12" s="9">
        <v>-1.84E-2</v>
      </c>
      <c r="AD12" s="9">
        <v>-3.1099999999999999E-2</v>
      </c>
      <c r="AE12" s="9">
        <v>0.01</v>
      </c>
      <c r="AF12" s="9">
        <v>-3.1099999999999999E-2</v>
      </c>
    </row>
    <row r="13" spans="1:32" ht="15.75" customHeight="1" x14ac:dyDescent="0.2">
      <c r="A13" s="8">
        <v>11</v>
      </c>
      <c r="B13" s="30">
        <v>45231</v>
      </c>
      <c r="C13" s="31">
        <v>9.1999999999999998E-3</v>
      </c>
      <c r="D13" s="31">
        <v>2.8E-3</v>
      </c>
      <c r="E13" s="31">
        <v>9.1999999999999998E-3</v>
      </c>
      <c r="F13" s="31">
        <v>0.12540000000000001</v>
      </c>
      <c r="G13" s="31">
        <v>-2.41E-2</v>
      </c>
      <c r="H13" s="31">
        <v>9.1999999999999998E-3</v>
      </c>
      <c r="I13" s="31">
        <v>1.09E-2</v>
      </c>
      <c r="J13" s="31">
        <v>1.2E-2</v>
      </c>
      <c r="K13" s="31">
        <v>1.1299999999999999E-2</v>
      </c>
      <c r="L13" s="31">
        <v>1.09E-2</v>
      </c>
      <c r="M13" s="31">
        <v>8.0000000000000002E-3</v>
      </c>
      <c r="N13" s="31">
        <v>2.3999999999999998E-3</v>
      </c>
      <c r="O13" s="31">
        <v>8.6999999999999994E-3</v>
      </c>
      <c r="P13" s="32">
        <v>9.1999999999999998E-3</v>
      </c>
      <c r="Q13" s="31">
        <v>3.3399999999999999E-2</v>
      </c>
      <c r="R13" s="31">
        <v>1.2999999999999999E-3</v>
      </c>
      <c r="S13" s="31">
        <v>1.1299999999999999E-2</v>
      </c>
      <c r="T13" s="31">
        <v>2.87E-2</v>
      </c>
      <c r="U13" s="31">
        <v>7.4099999999999999E-2</v>
      </c>
      <c r="V13" s="31">
        <v>9.9400000000000002E-2</v>
      </c>
      <c r="W13" s="31">
        <v>0.13769999999999999</v>
      </c>
      <c r="X13" s="31">
        <v>0.1096</v>
      </c>
      <c r="Y13" s="31">
        <v>0.1031</v>
      </c>
      <c r="Z13" s="31">
        <v>0.1013</v>
      </c>
      <c r="AA13" s="31">
        <v>7.85E-2</v>
      </c>
      <c r="AB13" s="9">
        <v>6.7100000000000007E-2</v>
      </c>
      <c r="AC13" s="9">
        <v>8.1000000000000003E-2</v>
      </c>
      <c r="AD13" s="9">
        <v>6.4199999999999993E-2</v>
      </c>
      <c r="AE13" s="9">
        <v>9.1999999999999998E-3</v>
      </c>
      <c r="AF13" s="9">
        <v>0.10630000000000001</v>
      </c>
    </row>
    <row r="14" spans="1:32" ht="15.75" customHeight="1" x14ac:dyDescent="0.2">
      <c r="A14" s="8">
        <v>12</v>
      </c>
      <c r="B14" s="30">
        <v>45261</v>
      </c>
      <c r="C14" s="33">
        <v>8.9999999999999993E-3</v>
      </c>
      <c r="D14" s="33">
        <v>5.5999999999999999E-3</v>
      </c>
      <c r="E14" s="33">
        <v>8.8999999999999999E-3</v>
      </c>
      <c r="F14" s="33">
        <v>5.3800000000000001E-2</v>
      </c>
      <c r="G14" s="33">
        <v>-1.9099999999999999E-2</v>
      </c>
      <c r="H14" s="33">
        <v>8.8999999999999999E-3</v>
      </c>
      <c r="I14" s="33">
        <v>1.09E-2</v>
      </c>
      <c r="J14" s="33">
        <v>1.18E-2</v>
      </c>
      <c r="K14" s="33">
        <v>1.0500000000000001E-2</v>
      </c>
      <c r="L14" s="33">
        <v>1.04E-2</v>
      </c>
      <c r="M14" s="33">
        <v>6.1000000000000004E-3</v>
      </c>
      <c r="N14" s="33">
        <v>1.4200000000000001E-2</v>
      </c>
      <c r="O14" s="33">
        <v>1.11E-2</v>
      </c>
      <c r="P14" s="32">
        <v>8.9999999999999993E-3</v>
      </c>
      <c r="Q14" s="33">
        <v>2.2599999999999999E-2</v>
      </c>
      <c r="R14" s="33">
        <v>2.7300000000000001E-2</v>
      </c>
      <c r="S14" s="33">
        <v>1.0500000000000001E-2</v>
      </c>
      <c r="T14" s="33">
        <v>3.2199999999999999E-2</v>
      </c>
      <c r="U14" s="33">
        <v>4.3400000000000001E-2</v>
      </c>
      <c r="V14" s="33">
        <v>0.02</v>
      </c>
      <c r="W14" s="33">
        <v>3.5299999999999998E-2</v>
      </c>
      <c r="X14" s="33">
        <v>7.6600000000000001E-2</v>
      </c>
      <c r="Y14" s="33">
        <v>8.0399999999999999E-2</v>
      </c>
      <c r="Z14" s="33">
        <v>7.5300000000000006E-2</v>
      </c>
      <c r="AA14" s="33">
        <v>4.4600000000000001E-2</v>
      </c>
      <c r="AB14" s="9">
        <v>3.1699999999999999E-2</v>
      </c>
      <c r="AC14" s="9">
        <v>4.48E-2</v>
      </c>
      <c r="AD14" s="9">
        <v>3.6999999999999998E-2</v>
      </c>
      <c r="AE14" s="9">
        <v>8.8999999999999999E-3</v>
      </c>
      <c r="AF14" s="9">
        <v>7.0800000000000002E-2</v>
      </c>
    </row>
    <row r="15" spans="1:32" ht="15.75" customHeight="1" x14ac:dyDescent="0.2">
      <c r="A15" s="8">
        <v>13</v>
      </c>
      <c r="B15" s="30">
        <v>45292</v>
      </c>
      <c r="C15" s="31">
        <v>9.7000000000000003E-3</v>
      </c>
      <c r="D15" s="31">
        <v>4.1999999999999997E-3</v>
      </c>
      <c r="E15" s="31">
        <v>9.7000000000000003E-3</v>
      </c>
      <c r="F15" s="31">
        <v>-4.7899999999999998E-2</v>
      </c>
      <c r="G15" s="31">
        <v>2.3199999999999998E-2</v>
      </c>
      <c r="H15" s="31">
        <v>9.7000000000000003E-3</v>
      </c>
      <c r="I15" s="31">
        <v>1.18E-2</v>
      </c>
      <c r="J15" s="31">
        <v>1.14E-2</v>
      </c>
      <c r="K15" s="31">
        <v>1.18E-2</v>
      </c>
      <c r="L15" s="31">
        <v>1.11E-2</v>
      </c>
      <c r="M15" s="31">
        <v>1.14E-2</v>
      </c>
      <c r="N15" s="31">
        <v>1.2699999999999999E-2</v>
      </c>
      <c r="O15" s="31">
        <v>1.9400000000000001E-2</v>
      </c>
      <c r="P15" s="32">
        <v>9.7000000000000003E-3</v>
      </c>
      <c r="Q15" s="31">
        <v>2.1600000000000001E-2</v>
      </c>
      <c r="R15" s="31">
        <v>2.0999999999999999E-3</v>
      </c>
      <c r="S15" s="31">
        <v>1.18E-2</v>
      </c>
      <c r="T15" s="31">
        <v>-3.2000000000000002E-3</v>
      </c>
      <c r="U15" s="31">
        <v>-2.2100000000000002E-2</v>
      </c>
      <c r="V15" s="31">
        <v>-3.09E-2</v>
      </c>
      <c r="W15" s="31">
        <v>-3.5799999999999998E-2</v>
      </c>
      <c r="X15" s="31">
        <v>-7.3899999999999993E-2</v>
      </c>
      <c r="Y15" s="31">
        <v>-8.3099999999999993E-2</v>
      </c>
      <c r="Z15" s="31">
        <v>-3.78E-2</v>
      </c>
      <c r="AA15" s="31">
        <v>-2.0899999999999998E-2</v>
      </c>
      <c r="AB15" s="9">
        <v>3.5000000000000003E-2</v>
      </c>
      <c r="AC15" s="9">
        <v>3.5900000000000001E-2</v>
      </c>
      <c r="AD15" s="9">
        <v>1.9E-2</v>
      </c>
      <c r="AE15" s="9">
        <v>9.7000000000000003E-3</v>
      </c>
      <c r="AF15" s="9">
        <v>-3.5799999999999998E-2</v>
      </c>
    </row>
    <row r="16" spans="1:32" ht="15.75" customHeight="1" x14ac:dyDescent="0.2">
      <c r="A16" s="8">
        <v>14</v>
      </c>
      <c r="B16" s="30">
        <v>45323</v>
      </c>
      <c r="C16" s="33">
        <v>8.0000000000000002E-3</v>
      </c>
      <c r="D16" s="33">
        <v>8.3000000000000001E-3</v>
      </c>
      <c r="E16" s="33">
        <v>8.0000000000000002E-3</v>
      </c>
      <c r="F16" s="33">
        <v>9.9000000000000008E-3</v>
      </c>
      <c r="G16" s="33">
        <v>6.0000000000000001E-3</v>
      </c>
      <c r="H16" s="33">
        <v>8.0000000000000002E-3</v>
      </c>
      <c r="I16" s="33">
        <v>9.2999999999999992E-3</v>
      </c>
      <c r="J16" s="33">
        <v>1.01E-2</v>
      </c>
      <c r="K16" s="33">
        <v>1.0999999999999999E-2</v>
      </c>
      <c r="L16" s="33">
        <v>9.1999999999999998E-3</v>
      </c>
      <c r="M16" s="33">
        <v>1.17E-2</v>
      </c>
      <c r="N16" s="33">
        <v>1.2200000000000001E-2</v>
      </c>
      <c r="O16" s="33">
        <v>2.7300000000000001E-2</v>
      </c>
      <c r="P16" s="32">
        <v>8.0000000000000002E-3</v>
      </c>
      <c r="Q16" s="33">
        <v>3.0599999999999999E-2</v>
      </c>
      <c r="R16" s="33">
        <v>4.4000000000000003E-3</v>
      </c>
      <c r="S16" s="33">
        <v>1.0999999999999999E-2</v>
      </c>
      <c r="T16" s="33">
        <v>8.6E-3</v>
      </c>
      <c r="U16" s="33">
        <v>1.4500000000000001E-2</v>
      </c>
      <c r="V16" s="33">
        <v>3.8999999999999998E-3</v>
      </c>
      <c r="W16" s="33">
        <v>3.61E-2</v>
      </c>
      <c r="X16" s="33">
        <v>-1.49E-2</v>
      </c>
      <c r="Y16" s="33">
        <v>8.0000000000000004E-4</v>
      </c>
      <c r="Z16" s="33">
        <v>3.2800000000000003E-2</v>
      </c>
      <c r="AA16" s="33">
        <v>2.4500000000000001E-2</v>
      </c>
      <c r="AB16" s="9">
        <v>5.4300000000000001E-2</v>
      </c>
      <c r="AC16" s="9">
        <v>5.57E-2</v>
      </c>
      <c r="AD16" s="9">
        <v>4.6199999999999998E-2</v>
      </c>
      <c r="AE16" s="9">
        <v>8.0000000000000002E-3</v>
      </c>
      <c r="AF16" s="9">
        <v>8.9999999999999993E-3</v>
      </c>
    </row>
    <row r="17" spans="1:32" ht="15.75" customHeight="1" x14ac:dyDescent="0.2">
      <c r="A17" s="8">
        <v>15</v>
      </c>
      <c r="B17" s="30">
        <v>45352</v>
      </c>
      <c r="C17" s="31">
        <v>8.3000000000000001E-3</v>
      </c>
      <c r="D17" s="31">
        <v>1.6000000000000001E-3</v>
      </c>
      <c r="E17" s="31">
        <v>8.3000000000000001E-3</v>
      </c>
      <c r="F17" s="31">
        <v>-7.1000000000000004E-3</v>
      </c>
      <c r="G17" s="31">
        <v>2.5999999999999999E-3</v>
      </c>
      <c r="H17" s="31">
        <v>8.3000000000000001E-3</v>
      </c>
      <c r="I17" s="31">
        <v>9.4999999999999998E-3</v>
      </c>
      <c r="J17" s="31">
        <v>0.01</v>
      </c>
      <c r="K17" s="31">
        <v>1.09E-2</v>
      </c>
      <c r="L17" s="31">
        <v>9.4000000000000004E-3</v>
      </c>
      <c r="M17" s="31">
        <v>1.2500000000000001E-2</v>
      </c>
      <c r="N17" s="31">
        <v>1.15E-2</v>
      </c>
      <c r="O17" s="31">
        <v>1.23E-2</v>
      </c>
      <c r="P17" s="32">
        <v>8.3000000000000001E-3</v>
      </c>
      <c r="Q17" s="31">
        <v>1.4500000000000001E-2</v>
      </c>
      <c r="R17" s="31">
        <v>1.72E-2</v>
      </c>
      <c r="S17" s="31">
        <v>1.09E-2</v>
      </c>
      <c r="T17" s="31">
        <v>1.4800000000000001E-2</v>
      </c>
      <c r="U17" s="31">
        <v>1.7600000000000001E-2</v>
      </c>
      <c r="V17" s="31">
        <v>3.0499999999999999E-2</v>
      </c>
      <c r="W17" s="31">
        <v>1.7600000000000001E-2</v>
      </c>
      <c r="X17" s="31">
        <v>7.6100000000000001E-2</v>
      </c>
      <c r="Y17" s="31">
        <v>2.06E-2</v>
      </c>
      <c r="Z17" s="31">
        <v>5.7999999999999996E-3</v>
      </c>
      <c r="AA17" s="31">
        <v>2.87E-2</v>
      </c>
      <c r="AB17" s="9">
        <v>4.0899999999999999E-2</v>
      </c>
      <c r="AC17" s="9">
        <v>2.0799999999999999E-2</v>
      </c>
      <c r="AD17" s="9">
        <v>4.4999999999999998E-2</v>
      </c>
      <c r="AE17" s="9">
        <v>8.3000000000000001E-3</v>
      </c>
      <c r="AF17" s="9">
        <v>-1.23E-2</v>
      </c>
    </row>
    <row r="18" spans="1:32" ht="15.75" customHeight="1" x14ac:dyDescent="0.2">
      <c r="A18" s="8">
        <v>16</v>
      </c>
      <c r="B18" s="30">
        <v>45383</v>
      </c>
      <c r="C18" s="33">
        <v>8.8999999999999999E-3</v>
      </c>
      <c r="D18" s="33">
        <v>3.8E-3</v>
      </c>
      <c r="E18" s="33">
        <v>8.8999999999999999E-3</v>
      </c>
      <c r="F18" s="33">
        <v>-1.7000000000000001E-2</v>
      </c>
      <c r="G18" s="33">
        <v>3.5099999999999999E-2</v>
      </c>
      <c r="H18" s="33">
        <v>8.8999999999999999E-3</v>
      </c>
      <c r="I18" s="33">
        <v>9.9000000000000008E-3</v>
      </c>
      <c r="J18" s="33">
        <v>1.17E-2</v>
      </c>
      <c r="K18" s="33">
        <v>9.9000000000000008E-3</v>
      </c>
      <c r="L18" s="33">
        <v>9.4000000000000004E-3</v>
      </c>
      <c r="M18" s="33">
        <v>1.1599999999999999E-2</v>
      </c>
      <c r="N18" s="33">
        <v>6.7000000000000002E-3</v>
      </c>
      <c r="O18" s="33">
        <v>8.6E-3</v>
      </c>
      <c r="P18" s="33">
        <v>2.3E-3</v>
      </c>
      <c r="Q18" s="33">
        <v>3.1600000000000003E-2</v>
      </c>
      <c r="R18" s="33">
        <v>-2.35E-2</v>
      </c>
      <c r="S18" s="33">
        <v>9.9000000000000008E-3</v>
      </c>
      <c r="T18" s="33">
        <v>-3.8699999999999998E-2</v>
      </c>
      <c r="U18" s="33">
        <v>-3.78E-2</v>
      </c>
      <c r="V18" s="33">
        <v>-5.45E-2</v>
      </c>
      <c r="W18" s="33">
        <v>-4.9799999999999997E-2</v>
      </c>
      <c r="X18" s="33">
        <v>2.5000000000000001E-3</v>
      </c>
      <c r="Y18" s="33">
        <v>-4.7399999999999998E-2</v>
      </c>
      <c r="Z18" s="33">
        <v>-4.65E-2</v>
      </c>
      <c r="AA18" s="33">
        <v>-3.7600000000000001E-2</v>
      </c>
      <c r="AB18" s="9">
        <v>-5.4999999999999997E-3</v>
      </c>
      <c r="AC18" s="9">
        <v>-1.18E-2</v>
      </c>
      <c r="AD18" s="9">
        <v>-4.7000000000000002E-3</v>
      </c>
      <c r="AE18" s="9">
        <v>8.8999999999999999E-3</v>
      </c>
      <c r="AF18" s="9">
        <v>-3.2000000000000002E-3</v>
      </c>
    </row>
    <row r="19" spans="1:32" ht="15.75" customHeight="1" x14ac:dyDescent="0.2">
      <c r="A19" s="8">
        <v>17</v>
      </c>
      <c r="B19" s="30">
        <v>45413</v>
      </c>
      <c r="C19" s="31">
        <v>8.3000000000000001E-3</v>
      </c>
      <c r="D19" s="31">
        <v>4.5999999999999999E-3</v>
      </c>
      <c r="E19" s="31">
        <v>8.3000000000000001E-3</v>
      </c>
      <c r="F19" s="31">
        <v>-3.04E-2</v>
      </c>
      <c r="G19" s="31">
        <v>1.35E-2</v>
      </c>
      <c r="H19" s="31">
        <v>8.3000000000000001E-3</v>
      </c>
      <c r="I19" s="31">
        <v>1.03E-2</v>
      </c>
      <c r="J19" s="31">
        <v>9.7000000000000003E-3</v>
      </c>
      <c r="K19" s="31">
        <v>9.4000000000000004E-3</v>
      </c>
      <c r="L19" s="31">
        <v>8.8000000000000005E-3</v>
      </c>
      <c r="M19" s="31">
        <v>8.6E-3</v>
      </c>
      <c r="N19" s="31">
        <v>1.03E-2</v>
      </c>
      <c r="O19" s="31">
        <v>1.01E-2</v>
      </c>
      <c r="P19" s="31">
        <v>7.7999999999999996E-3</v>
      </c>
      <c r="Q19" s="31">
        <v>1.9099999999999999E-2</v>
      </c>
      <c r="R19" s="31">
        <v>5.1999999999999998E-3</v>
      </c>
      <c r="S19" s="31">
        <v>9.4000000000000004E-3</v>
      </c>
      <c r="T19" s="31">
        <v>2.4899999999999999E-2</v>
      </c>
      <c r="U19" s="31">
        <v>-8.6E-3</v>
      </c>
      <c r="V19" s="31">
        <v>-2.0199999999999999E-2</v>
      </c>
      <c r="W19" s="31">
        <v>-2.3900000000000001E-2</v>
      </c>
      <c r="X19" s="31">
        <v>-1.7399999999999999E-2</v>
      </c>
      <c r="Y19" s="31">
        <v>-5.4600000000000003E-2</v>
      </c>
      <c r="Z19" s="31">
        <v>-1.8599999999999998E-2</v>
      </c>
      <c r="AA19" s="31">
        <v>8.0000000000000004E-4</v>
      </c>
      <c r="AB19" s="9">
        <v>5.91E-2</v>
      </c>
      <c r="AC19" s="9">
        <v>7.7700000000000005E-2</v>
      </c>
      <c r="AD19" s="9">
        <v>5.3699999999999998E-2</v>
      </c>
      <c r="AE19" s="9">
        <v>8.3000000000000001E-3</v>
      </c>
      <c r="AF19" s="9">
        <v>-7.9000000000000008E-3</v>
      </c>
    </row>
    <row r="20" spans="1:32" ht="15.75" customHeight="1" x14ac:dyDescent="0.2">
      <c r="A20" s="8">
        <v>18</v>
      </c>
      <c r="B20" s="30">
        <v>45444</v>
      </c>
      <c r="C20" s="33">
        <v>7.9000000000000008E-3</v>
      </c>
      <c r="D20" s="33">
        <v>2.0999999999999999E-3</v>
      </c>
      <c r="E20" s="33">
        <v>7.9000000000000008E-3</v>
      </c>
      <c r="F20" s="33">
        <v>1.4800000000000001E-2</v>
      </c>
      <c r="G20" s="33">
        <v>6.0499999999999998E-2</v>
      </c>
      <c r="H20" s="33">
        <v>7.9000000000000008E-3</v>
      </c>
      <c r="I20" s="33">
        <v>9.1000000000000004E-3</v>
      </c>
      <c r="J20" s="33">
        <v>9.2999999999999992E-3</v>
      </c>
      <c r="K20" s="33">
        <v>0.01</v>
      </c>
      <c r="L20" s="33">
        <v>8.3999999999999995E-3</v>
      </c>
      <c r="M20" s="33">
        <v>9.7999999999999997E-3</v>
      </c>
      <c r="N20" s="33">
        <v>8.6E-3</v>
      </c>
      <c r="O20" s="33">
        <v>1.1900000000000001E-2</v>
      </c>
      <c r="P20" s="33">
        <v>9.2999999999999992E-3</v>
      </c>
      <c r="Q20" s="33">
        <v>2.8799999999999999E-2</v>
      </c>
      <c r="R20" s="33">
        <v>4.3E-3</v>
      </c>
      <c r="S20" s="33">
        <v>0.01</v>
      </c>
      <c r="T20" s="33">
        <v>1.6199999999999999E-2</v>
      </c>
      <c r="U20" s="33">
        <v>2.4899999999999999E-2</v>
      </c>
      <c r="V20" s="33">
        <v>-1E-3</v>
      </c>
      <c r="W20" s="33">
        <v>2.7699999999999999E-2</v>
      </c>
      <c r="X20" s="33">
        <v>-2.69E-2</v>
      </c>
      <c r="Y20" s="33">
        <v>4.4999999999999997E-3</v>
      </c>
      <c r="Z20" s="33">
        <v>8.2000000000000007E-3</v>
      </c>
      <c r="AA20" s="33">
        <v>8.9999999999999998E-4</v>
      </c>
      <c r="AB20" s="9">
        <v>0.1026</v>
      </c>
      <c r="AC20" s="9">
        <v>0.1273</v>
      </c>
      <c r="AD20" s="9">
        <v>8.09E-2</v>
      </c>
      <c r="AE20" s="9">
        <v>7.9000000000000008E-3</v>
      </c>
      <c r="AF20" s="9">
        <v>1.4999999999999999E-2</v>
      </c>
    </row>
    <row r="21" spans="1:32" ht="15.75" customHeight="1" x14ac:dyDescent="0.2">
      <c r="A21" s="8">
        <v>19</v>
      </c>
      <c r="B21" s="30">
        <v>45474</v>
      </c>
      <c r="C21" s="31">
        <v>9.1000000000000004E-3</v>
      </c>
      <c r="D21" s="31">
        <v>3.8E-3</v>
      </c>
      <c r="E21" s="31">
        <v>9.1000000000000004E-3</v>
      </c>
      <c r="F21" s="31">
        <v>3.0200000000000001E-2</v>
      </c>
      <c r="G21" s="31">
        <v>1.8599999999999998E-2</v>
      </c>
      <c r="H21" s="31">
        <v>9.1000000000000004E-3</v>
      </c>
      <c r="I21" s="31">
        <v>0.01</v>
      </c>
      <c r="J21" s="31">
        <v>1.15E-2</v>
      </c>
      <c r="K21" s="31">
        <v>1.0699999999999999E-2</v>
      </c>
      <c r="L21" s="31">
        <v>1.03E-2</v>
      </c>
      <c r="M21" s="31">
        <v>1.2E-2</v>
      </c>
      <c r="N21" s="31">
        <v>9.4999999999999998E-3</v>
      </c>
      <c r="O21" s="31">
        <v>1.5900000000000001E-2</v>
      </c>
      <c r="P21" s="31">
        <v>1.55E-2</v>
      </c>
      <c r="Q21" s="31">
        <v>3.04E-2</v>
      </c>
      <c r="R21" s="31">
        <v>2.7E-2</v>
      </c>
      <c r="S21" s="31">
        <v>1.0699999999999999E-2</v>
      </c>
      <c r="T21" s="31">
        <v>1.3899999999999999E-2</v>
      </c>
      <c r="U21" s="31">
        <v>2.0899999999999998E-2</v>
      </c>
      <c r="V21" s="31">
        <v>6.93E-2</v>
      </c>
      <c r="W21" s="31">
        <v>1.66E-2</v>
      </c>
      <c r="X21" s="31">
        <v>4.2999999999999997E-2</v>
      </c>
      <c r="Y21" s="31">
        <v>-1.3899999999999999E-2</v>
      </c>
      <c r="Z21" s="31">
        <v>1.67E-2</v>
      </c>
      <c r="AA21" s="31">
        <v>2.93E-2</v>
      </c>
      <c r="AB21" s="9">
        <v>2.3199999999999998E-2</v>
      </c>
      <c r="AC21" s="9">
        <v>-3.3E-3</v>
      </c>
      <c r="AD21" s="9">
        <v>3.3500000000000002E-2</v>
      </c>
      <c r="AE21" s="9">
        <v>9.1000000000000004E-3</v>
      </c>
      <c r="AF21" s="9">
        <v>2.2200000000000001E-2</v>
      </c>
    </row>
    <row r="22" spans="1:32" ht="15.75" customHeight="1" x14ac:dyDescent="0.2">
      <c r="A22" s="8">
        <v>20</v>
      </c>
      <c r="B22" s="30">
        <v>45505</v>
      </c>
      <c r="C22" s="33">
        <v>8.6999999999999994E-3</v>
      </c>
      <c r="D22" s="33">
        <v>-2.0000000000000001E-4</v>
      </c>
      <c r="E22" s="33">
        <v>8.6999999999999994E-3</v>
      </c>
      <c r="F22" s="33">
        <v>6.54E-2</v>
      </c>
      <c r="G22" s="33">
        <v>-1E-3</v>
      </c>
      <c r="H22" s="33">
        <v>8.6999999999999994E-3</v>
      </c>
      <c r="I22" s="33">
        <v>1.03E-2</v>
      </c>
      <c r="J22" s="33">
        <v>1.0800000000000001E-2</v>
      </c>
      <c r="K22" s="33">
        <v>1.1599999999999999E-2</v>
      </c>
      <c r="L22" s="33">
        <v>9.7000000000000003E-3</v>
      </c>
      <c r="M22" s="33">
        <v>1.03E-2</v>
      </c>
      <c r="N22" s="33">
        <v>9.2999999999999992E-3</v>
      </c>
      <c r="O22" s="33">
        <v>1.47E-2</v>
      </c>
      <c r="P22" s="33">
        <v>8.0999999999999996E-3</v>
      </c>
      <c r="Q22" s="33">
        <v>4.5999999999999999E-3</v>
      </c>
      <c r="R22" s="33">
        <v>6.1999999999999998E-3</v>
      </c>
      <c r="S22" s="33">
        <v>1.1599999999999999E-2</v>
      </c>
      <c r="T22" s="33">
        <v>6.8999999999999999E-3</v>
      </c>
      <c r="U22" s="33">
        <v>1.9900000000000001E-2</v>
      </c>
      <c r="V22" s="33">
        <v>5.0299999999999997E-2</v>
      </c>
      <c r="W22" s="33">
        <v>6.5000000000000002E-2</v>
      </c>
      <c r="X22" s="33">
        <v>7.4999999999999997E-3</v>
      </c>
      <c r="Y22" s="33">
        <v>0.04</v>
      </c>
      <c r="Z22" s="33">
        <v>6.5799999999999997E-2</v>
      </c>
      <c r="AA22" s="33">
        <v>1.35E-2</v>
      </c>
      <c r="AB22" s="9">
        <v>2.06E-2</v>
      </c>
      <c r="AC22" s="9">
        <v>7.9000000000000008E-3</v>
      </c>
      <c r="AD22" s="9">
        <v>1.6899999999999998E-2</v>
      </c>
      <c r="AE22" s="9">
        <v>8.6999999999999994E-3</v>
      </c>
      <c r="AF22" s="9">
        <v>6.2700000000000006E-2</v>
      </c>
    </row>
    <row r="23" spans="1:32" ht="15.75" customHeight="1" x14ac:dyDescent="0.2">
      <c r="A23" s="8">
        <v>21</v>
      </c>
      <c r="B23" s="30">
        <v>45536</v>
      </c>
      <c r="C23" s="31">
        <v>8.3000000000000001E-3</v>
      </c>
      <c r="D23" s="31">
        <v>4.4000000000000003E-3</v>
      </c>
      <c r="E23" s="31">
        <v>8.3999999999999995E-3</v>
      </c>
      <c r="F23" s="31">
        <v>-3.0800000000000001E-2</v>
      </c>
      <c r="G23" s="31">
        <v>-3.6799999999999999E-2</v>
      </c>
      <c r="H23" s="31">
        <v>8.3999999999999995E-3</v>
      </c>
      <c r="I23" s="31">
        <v>9.2999999999999992E-3</v>
      </c>
      <c r="J23" s="31">
        <v>1.04E-2</v>
      </c>
      <c r="K23" s="31">
        <v>8.8999999999999999E-3</v>
      </c>
      <c r="L23" s="31">
        <v>8.8999999999999999E-3</v>
      </c>
      <c r="M23" s="31">
        <v>9.2999999999999992E-3</v>
      </c>
      <c r="N23" s="31">
        <v>1.1299999999999999E-2</v>
      </c>
      <c r="O23" s="31">
        <v>1.5699999999999999E-2</v>
      </c>
      <c r="P23" s="31">
        <v>1.32E-2</v>
      </c>
      <c r="Q23" s="31">
        <v>5.4899999999999997E-2</v>
      </c>
      <c r="R23" s="31">
        <v>1.54E-2</v>
      </c>
      <c r="S23" s="31">
        <v>8.8999999999999999E-3</v>
      </c>
      <c r="T23" s="31">
        <v>1.66E-2</v>
      </c>
      <c r="U23" s="31">
        <v>-1.17E-2</v>
      </c>
      <c r="V23" s="31">
        <v>-1.83E-2</v>
      </c>
      <c r="W23" s="31">
        <v>-1.8700000000000001E-2</v>
      </c>
      <c r="X23" s="31">
        <v>2.4199999999999999E-2</v>
      </c>
      <c r="Y23" s="31">
        <v>-1.9900000000000001E-2</v>
      </c>
      <c r="Z23" s="31">
        <v>-3.5200000000000002E-2</v>
      </c>
      <c r="AA23" s="31">
        <v>-2.2599999999999999E-2</v>
      </c>
      <c r="AB23" s="9">
        <v>-1.4200000000000001E-2</v>
      </c>
      <c r="AC23" s="9">
        <v>-1.04E-2</v>
      </c>
      <c r="AD23" s="9">
        <v>-1.26E-2</v>
      </c>
      <c r="AE23" s="9">
        <v>8.3999999999999995E-3</v>
      </c>
      <c r="AF23" s="9">
        <v>-4.7000000000000002E-3</v>
      </c>
    </row>
    <row r="24" spans="1:32" ht="15.75" customHeight="1" x14ac:dyDescent="0.2">
      <c r="A24" s="8">
        <v>22</v>
      </c>
      <c r="B24" s="30">
        <v>45566</v>
      </c>
      <c r="C24" s="33">
        <v>9.2999999999999992E-3</v>
      </c>
      <c r="D24" s="33">
        <v>5.5999999999999999E-3</v>
      </c>
      <c r="E24" s="33">
        <v>9.2999999999999992E-3</v>
      </c>
      <c r="F24" s="33">
        <v>-1.6E-2</v>
      </c>
      <c r="G24" s="33">
        <v>6.0499999999999998E-2</v>
      </c>
      <c r="H24" s="33">
        <v>9.2999999999999992E-3</v>
      </c>
      <c r="I24" s="33">
        <v>9.5999999999999992E-3</v>
      </c>
      <c r="J24" s="33">
        <v>9.7999999999999997E-3</v>
      </c>
      <c r="K24" s="33">
        <v>1.04E-2</v>
      </c>
      <c r="L24" s="33">
        <v>9.5999999999999992E-3</v>
      </c>
      <c r="M24" s="33">
        <v>1.34E-2</v>
      </c>
      <c r="N24" s="33">
        <v>7.7999999999999996E-3</v>
      </c>
      <c r="O24" s="33">
        <v>8.6999999999999994E-3</v>
      </c>
      <c r="P24" s="33">
        <v>9.4000000000000004E-3</v>
      </c>
      <c r="Q24" s="33">
        <v>1.41E-2</v>
      </c>
      <c r="R24" s="33">
        <v>4.8999999999999998E-3</v>
      </c>
      <c r="S24" s="33">
        <v>1.04E-2</v>
      </c>
      <c r="T24" s="33">
        <v>-2.2000000000000001E-3</v>
      </c>
      <c r="U24" s="33">
        <v>-1.2E-2</v>
      </c>
      <c r="V24" s="33">
        <v>-1.2999999999999999E-3</v>
      </c>
      <c r="W24" s="33">
        <v>-5.1000000000000004E-3</v>
      </c>
      <c r="X24" s="33">
        <v>-3.7199999999999997E-2</v>
      </c>
      <c r="Y24" s="33">
        <v>-1.09E-2</v>
      </c>
      <c r="Z24" s="33">
        <v>-5.1000000000000004E-3</v>
      </c>
      <c r="AA24" s="33">
        <v>1.0500000000000001E-2</v>
      </c>
      <c r="AB24" s="9">
        <v>5.74E-2</v>
      </c>
      <c r="AC24" s="9">
        <v>5.7799999999999997E-2</v>
      </c>
      <c r="AD24" s="9">
        <v>4.1599999999999998E-2</v>
      </c>
      <c r="AE24" s="9">
        <v>9.2999999999999992E-3</v>
      </c>
      <c r="AF24" s="9">
        <v>-1.8599999999999998E-2</v>
      </c>
    </row>
    <row r="25" spans="1:32" ht="15.75" customHeight="1" x14ac:dyDescent="0.2">
      <c r="A25" s="8">
        <v>23</v>
      </c>
      <c r="B25" s="30">
        <v>45597</v>
      </c>
      <c r="C25" s="31">
        <v>7.9000000000000008E-3</v>
      </c>
      <c r="D25" s="31">
        <v>3.8999999999999998E-3</v>
      </c>
      <c r="E25" s="31">
        <v>7.9000000000000008E-3</v>
      </c>
      <c r="F25" s="31">
        <v>-3.1199999999999999E-2</v>
      </c>
      <c r="G25" s="31">
        <v>4.7699999999999999E-2</v>
      </c>
      <c r="H25" s="31">
        <v>7.9000000000000008E-3</v>
      </c>
      <c r="I25" s="31">
        <v>8.3000000000000001E-3</v>
      </c>
      <c r="J25" s="31">
        <v>8.3000000000000001E-3</v>
      </c>
      <c r="K25" s="31">
        <v>8.0000000000000002E-3</v>
      </c>
      <c r="L25" s="31">
        <v>8.6E-3</v>
      </c>
      <c r="M25" s="31">
        <v>9.7999999999999997E-3</v>
      </c>
      <c r="N25" s="31">
        <v>9.1999999999999998E-3</v>
      </c>
      <c r="O25" s="31">
        <v>7.4000000000000003E-3</v>
      </c>
      <c r="P25" s="31">
        <v>9.7999999999999997E-3</v>
      </c>
      <c r="Q25" s="31">
        <v>1.9300000000000001E-2</v>
      </c>
      <c r="R25" s="31">
        <v>3.5099999999999999E-2</v>
      </c>
      <c r="S25" s="31">
        <v>8.0000000000000002E-3</v>
      </c>
      <c r="T25" s="31">
        <v>3.2500000000000001E-2</v>
      </c>
      <c r="U25" s="31">
        <v>-5.5999999999999999E-3</v>
      </c>
      <c r="V25" s="31">
        <v>-2.8400000000000002E-2</v>
      </c>
      <c r="W25" s="31">
        <v>-5.9200000000000003E-2</v>
      </c>
      <c r="X25" s="31">
        <v>-0.1091</v>
      </c>
      <c r="Y25" s="31">
        <v>-8.0000000000000004E-4</v>
      </c>
      <c r="Z25" s="31">
        <v>-4.9599999999999998E-2</v>
      </c>
      <c r="AA25" s="31">
        <v>2.9999999999999997E-4</v>
      </c>
      <c r="AB25" s="9">
        <v>8.9099999999999999E-2</v>
      </c>
      <c r="AC25" s="9">
        <v>8.1900000000000001E-2</v>
      </c>
      <c r="AD25" s="9">
        <v>8.9800000000000005E-2</v>
      </c>
      <c r="AE25" s="9">
        <v>7.9000000000000008E-3</v>
      </c>
      <c r="AF25" s="9">
        <v>1E-4</v>
      </c>
    </row>
    <row r="26" spans="1:32" ht="15.75" customHeight="1" x14ac:dyDescent="0.2">
      <c r="A26" s="8">
        <v>24</v>
      </c>
      <c r="B26" s="30">
        <v>45627</v>
      </c>
      <c r="C26" s="33">
        <v>9.2999999999999992E-3</v>
      </c>
      <c r="D26" s="33">
        <v>5.1999999999999998E-3</v>
      </c>
      <c r="E26" s="33">
        <v>9.2999999999999992E-3</v>
      </c>
      <c r="F26" s="33">
        <v>-4.2799999999999998E-2</v>
      </c>
      <c r="G26" s="33">
        <v>2.29E-2</v>
      </c>
      <c r="H26" s="33">
        <v>8.8000000000000005E-3</v>
      </c>
      <c r="I26" s="33">
        <v>9.2999999999999992E-3</v>
      </c>
      <c r="J26" s="33">
        <v>0.01</v>
      </c>
      <c r="K26" s="33">
        <v>4.5999999999999999E-3</v>
      </c>
      <c r="L26" s="33">
        <v>8.3000000000000001E-3</v>
      </c>
      <c r="M26" s="33">
        <v>0.01</v>
      </c>
      <c r="N26" s="33">
        <v>5.7000000000000002E-3</v>
      </c>
      <c r="O26" s="33">
        <v>9.1999999999999998E-3</v>
      </c>
      <c r="P26" s="33">
        <v>7.4000000000000003E-3</v>
      </c>
      <c r="Q26" s="33">
        <v>3.7499999999999999E-2</v>
      </c>
      <c r="R26" s="33">
        <v>2E-3</v>
      </c>
      <c r="S26" s="33">
        <v>4.5999999999999999E-3</v>
      </c>
      <c r="T26" s="33">
        <v>2.12E-2</v>
      </c>
      <c r="U26" s="33">
        <v>-2.4E-2</v>
      </c>
      <c r="V26" s="33">
        <v>-2.8799999999999999E-2</v>
      </c>
      <c r="W26" s="33">
        <v>-8.1799999999999998E-2</v>
      </c>
      <c r="X26" s="33">
        <v>-7.8100000000000003E-2</v>
      </c>
      <c r="Y26" s="33">
        <v>-5.3499999999999999E-2</v>
      </c>
      <c r="Z26" s="33">
        <v>-1.4E-2</v>
      </c>
      <c r="AA26" s="33">
        <v>-4.1000000000000003E-3</v>
      </c>
      <c r="AB26" s="9">
        <v>1.2E-2</v>
      </c>
      <c r="AC26" s="9">
        <v>4.82E-2</v>
      </c>
      <c r="AD26" s="9">
        <v>-1.11E-2</v>
      </c>
      <c r="AE26" s="9">
        <v>8.8000000000000005E-3</v>
      </c>
      <c r="AF26" s="9">
        <v>-4.5600000000000002E-2</v>
      </c>
    </row>
    <row r="27" spans="1:32" ht="15.75" customHeight="1" x14ac:dyDescent="0.2">
      <c r="A27" s="8">
        <v>25</v>
      </c>
      <c r="B27" s="30">
        <v>45658</v>
      </c>
      <c r="C27" s="31">
        <v>1.01E-2</v>
      </c>
      <c r="D27" s="31">
        <v>1.6000000000000001E-3</v>
      </c>
      <c r="E27" s="31">
        <v>1.01E-2</v>
      </c>
      <c r="F27" s="31">
        <v>4.8599999999999997E-2</v>
      </c>
      <c r="G27" s="31">
        <v>-5.8500000000000003E-2</v>
      </c>
      <c r="H27" s="31">
        <v>1.01E-2</v>
      </c>
      <c r="I27" s="31">
        <v>1.0699999999999999E-2</v>
      </c>
      <c r="J27" s="31">
        <v>1.21E-2</v>
      </c>
      <c r="K27" s="31">
        <v>1.26E-2</v>
      </c>
      <c r="L27" s="31">
        <v>1.12E-2</v>
      </c>
      <c r="M27" s="31">
        <v>1.23E-2</v>
      </c>
      <c r="N27" s="31">
        <v>1.12E-2</v>
      </c>
      <c r="O27" s="31">
        <v>6.4999999999999997E-3</v>
      </c>
      <c r="P27" s="31">
        <v>8.2000000000000007E-3</v>
      </c>
      <c r="Q27" s="31">
        <v>1.4800000000000001E-2</v>
      </c>
      <c r="R27" s="31">
        <v>3.8999999999999998E-3</v>
      </c>
      <c r="S27" s="31">
        <v>1.26E-2</v>
      </c>
      <c r="T27" s="31">
        <v>1.5599999999999999E-2</v>
      </c>
      <c r="U27" s="31">
        <v>2.6700000000000002E-2</v>
      </c>
      <c r="V27" s="31">
        <v>5.4800000000000001E-2</v>
      </c>
      <c r="W27" s="31">
        <v>5.5E-2</v>
      </c>
      <c r="X27" s="31">
        <v>8.1600000000000006E-2</v>
      </c>
      <c r="Y27" s="31">
        <v>2.24E-2</v>
      </c>
      <c r="Z27" s="31">
        <v>5.1799999999999999E-2</v>
      </c>
      <c r="AA27" s="31">
        <v>5.6300000000000003E-2</v>
      </c>
      <c r="AB27" s="9">
        <v>-3.32E-2</v>
      </c>
      <c r="AC27" s="9">
        <v>-4.2099999999999999E-2</v>
      </c>
      <c r="AD27" s="9">
        <v>-2.76E-2</v>
      </c>
      <c r="AE27" s="9">
        <v>1.01E-2</v>
      </c>
      <c r="AF27" s="9">
        <v>3.2300000000000002E-2</v>
      </c>
    </row>
    <row r="28" spans="1:32" ht="15.75" customHeight="1" x14ac:dyDescent="0.2">
      <c r="A28" s="8">
        <v>26</v>
      </c>
      <c r="B28" s="30">
        <v>45689</v>
      </c>
      <c r="C28" s="33">
        <v>9.9000000000000008E-3</v>
      </c>
      <c r="D28" s="33">
        <v>1.3100000000000001E-2</v>
      </c>
      <c r="E28" s="33">
        <v>9.9000000000000008E-3</v>
      </c>
      <c r="F28" s="33">
        <v>-2.64E-2</v>
      </c>
      <c r="G28" s="33">
        <v>3.2000000000000002E-3</v>
      </c>
      <c r="H28" s="33">
        <v>9.9000000000000008E-3</v>
      </c>
      <c r="I28" s="33">
        <v>1.0200000000000001E-2</v>
      </c>
      <c r="J28" s="33">
        <v>1.0999999999999999E-2</v>
      </c>
      <c r="K28" s="33">
        <v>1.2699999999999999E-2</v>
      </c>
      <c r="L28" s="33">
        <v>1.0699999999999999E-2</v>
      </c>
      <c r="M28" s="33">
        <v>1.0999999999999999E-2</v>
      </c>
      <c r="N28" s="33">
        <v>1.2E-2</v>
      </c>
      <c r="O28" s="33">
        <v>1.61E-2</v>
      </c>
      <c r="P28" s="33">
        <v>8.6E-3</v>
      </c>
      <c r="Q28" s="33">
        <v>1.32E-2</v>
      </c>
      <c r="R28" s="33">
        <v>-1.06E-2</v>
      </c>
      <c r="S28" s="33">
        <v>1.2699999999999999E-2</v>
      </c>
      <c r="T28" s="33">
        <v>5.4000000000000003E-3</v>
      </c>
      <c r="U28" s="33">
        <v>-1.6500000000000001E-2</v>
      </c>
      <c r="V28" s="33">
        <v>-1.66E-2</v>
      </c>
      <c r="W28" s="33">
        <v>-2.1600000000000001E-2</v>
      </c>
      <c r="X28" s="33">
        <v>-1.11E-2</v>
      </c>
      <c r="Y28" s="33">
        <v>-2.92E-2</v>
      </c>
      <c r="Z28" s="33">
        <v>-2.8899999999999999E-2</v>
      </c>
      <c r="AA28" s="33">
        <v>-1.1999999999999999E-3</v>
      </c>
      <c r="AB28" s="9">
        <v>-3.7000000000000002E-3</v>
      </c>
      <c r="AC28" s="9">
        <v>-2.23E-2</v>
      </c>
      <c r="AD28" s="9">
        <v>2.7000000000000001E-3</v>
      </c>
      <c r="AE28" s="9">
        <v>9.9000000000000008E-3</v>
      </c>
      <c r="AF28" s="9">
        <v>-1.23E-2</v>
      </c>
    </row>
    <row r="29" spans="1:32" ht="15.75" customHeight="1" x14ac:dyDescent="0.2">
      <c r="A29" s="8">
        <v>27</v>
      </c>
      <c r="B29" s="30">
        <v>45717</v>
      </c>
      <c r="C29" s="31">
        <v>9.5999999999999992E-3</v>
      </c>
      <c r="D29" s="31">
        <v>5.5999999999999999E-3</v>
      </c>
      <c r="E29" s="31">
        <v>9.5999999999999992E-3</v>
      </c>
      <c r="F29" s="31">
        <v>6.08E-2</v>
      </c>
      <c r="G29" s="31">
        <v>-1.8200000000000001E-2</v>
      </c>
      <c r="H29" s="31">
        <v>9.5999999999999992E-3</v>
      </c>
      <c r="I29" s="31">
        <v>1.01E-2</v>
      </c>
      <c r="J29" s="31">
        <v>1.12E-2</v>
      </c>
      <c r="K29" s="31">
        <v>1.0999999999999999E-2</v>
      </c>
      <c r="L29" s="31">
        <v>1.0500000000000001E-2</v>
      </c>
      <c r="M29" s="31">
        <v>1.03E-2</v>
      </c>
      <c r="N29" s="31">
        <v>1.0800000000000001E-2</v>
      </c>
      <c r="O29" s="31">
        <v>1.2699999999999999E-2</v>
      </c>
      <c r="P29" s="31">
        <v>9.7000000000000003E-3</v>
      </c>
      <c r="Q29" s="31">
        <v>2.1899999999999999E-2</v>
      </c>
      <c r="R29" s="31">
        <v>-2.1499999999999998E-2</v>
      </c>
      <c r="S29" s="31">
        <v>1.0999999999999999E-2</v>
      </c>
      <c r="T29" s="31">
        <v>5.5999999999999999E-3</v>
      </c>
      <c r="U29" s="31">
        <v>3.2000000000000002E-3</v>
      </c>
      <c r="V29" s="31">
        <v>-2.8999999999999998E-3</v>
      </c>
      <c r="W29" s="31">
        <v>-8.6E-3</v>
      </c>
      <c r="X29" s="31">
        <v>1.6E-2</v>
      </c>
      <c r="Y29" s="31">
        <v>2.3300000000000001E-2</v>
      </c>
      <c r="Z29" s="31">
        <v>5.2299999999999999E-2</v>
      </c>
      <c r="AA29" s="31">
        <v>4.8800000000000003E-2</v>
      </c>
      <c r="AB29" s="9">
        <v>-8.6599999999999996E-2</v>
      </c>
      <c r="AC29" s="9">
        <v>-0.1046</v>
      </c>
      <c r="AD29" s="9">
        <v>-6.8000000000000005E-2</v>
      </c>
      <c r="AE29" s="9">
        <v>9.5999999999999992E-3</v>
      </c>
      <c r="AF29" s="9">
        <v>3.6799999999999999E-2</v>
      </c>
    </row>
    <row r="30" spans="1:32" ht="15.75" customHeight="1" x14ac:dyDescent="0.2">
      <c r="A30" s="8">
        <v>28</v>
      </c>
      <c r="B30" s="30">
        <v>45748</v>
      </c>
      <c r="C30" s="33">
        <v>1.06E-2</v>
      </c>
      <c r="D30" s="33">
        <v>4.3E-3</v>
      </c>
      <c r="E30" s="33">
        <v>1.06E-2</v>
      </c>
      <c r="F30" s="33">
        <v>3.6900000000000002E-2</v>
      </c>
      <c r="G30" s="33">
        <v>-1.4200000000000001E-2</v>
      </c>
      <c r="H30" s="33">
        <v>1.06E-2</v>
      </c>
      <c r="I30" s="33">
        <v>1.0999999999999999E-2</v>
      </c>
      <c r="J30" s="33">
        <v>1.24E-2</v>
      </c>
      <c r="K30" s="33">
        <v>1.15E-2</v>
      </c>
      <c r="L30" s="33">
        <v>1.12E-2</v>
      </c>
      <c r="M30" s="33">
        <v>1.3899999999999999E-2</v>
      </c>
      <c r="N30" s="33">
        <v>8.9999999999999993E-3</v>
      </c>
      <c r="O30" s="33">
        <v>6.6E-3</v>
      </c>
      <c r="P30" s="33">
        <v>1.04E-2</v>
      </c>
      <c r="Q30" s="33">
        <v>2.0999999999999999E-3</v>
      </c>
      <c r="R30" s="33">
        <v>2.63E-2</v>
      </c>
      <c r="S30" s="33">
        <v>1.15E-2</v>
      </c>
      <c r="T30" s="33">
        <v>1.84E-2</v>
      </c>
      <c r="U30" s="33">
        <v>5.1299999999999998E-2</v>
      </c>
      <c r="V30" s="33">
        <v>9.5000000000000001E-2</v>
      </c>
      <c r="W30" s="33">
        <v>0.122</v>
      </c>
      <c r="X30" s="33">
        <v>8.5199999999999998E-2</v>
      </c>
      <c r="Y30" s="33">
        <v>9.64E-2</v>
      </c>
      <c r="Z30" s="33">
        <v>5.5399999999999998E-2</v>
      </c>
      <c r="AA30" s="33">
        <v>9.3200000000000005E-2</v>
      </c>
      <c r="AB30" s="9">
        <v>-1.21E-2</v>
      </c>
      <c r="AC30" s="9">
        <v>9.1000000000000004E-3</v>
      </c>
      <c r="AD30" s="9">
        <v>2.3E-3</v>
      </c>
      <c r="AE30" s="9">
        <v>1.06E-2</v>
      </c>
      <c r="AF30" s="9">
        <v>3.9699999999999999E-2</v>
      </c>
    </row>
    <row r="31" spans="1:32" ht="15.75" customHeight="1" x14ac:dyDescent="0.2">
      <c r="A31" s="8">
        <v>29</v>
      </c>
      <c r="B31" s="30">
        <v>45778</v>
      </c>
      <c r="C31" s="31">
        <v>1.14E-2</v>
      </c>
      <c r="D31" s="31">
        <v>2.5999999999999999E-3</v>
      </c>
      <c r="E31" s="31">
        <v>1.14E-2</v>
      </c>
      <c r="F31" s="31">
        <v>1.4500000000000001E-2</v>
      </c>
      <c r="G31" s="31">
        <v>8.5000000000000006E-3</v>
      </c>
      <c r="H31" s="31">
        <v>1.14E-2</v>
      </c>
      <c r="I31" s="31">
        <v>1.2E-2</v>
      </c>
      <c r="J31" s="31">
        <v>1.3299999999999999E-2</v>
      </c>
      <c r="K31" s="31">
        <v>1.2800000000000001E-2</v>
      </c>
      <c r="L31" s="31">
        <v>1.23E-2</v>
      </c>
      <c r="M31" s="31">
        <v>1.2999999999999999E-2</v>
      </c>
      <c r="N31" s="31">
        <v>1.1599999999999999E-2</v>
      </c>
      <c r="O31" s="31">
        <v>1.7000000000000001E-2</v>
      </c>
      <c r="P31" s="31">
        <v>1.26E-2</v>
      </c>
      <c r="Q31" s="31">
        <v>2.0799999999999999E-2</v>
      </c>
      <c r="R31" s="31">
        <v>4.1000000000000002E-2</v>
      </c>
      <c r="S31" s="31">
        <v>1.2800000000000001E-2</v>
      </c>
      <c r="T31" s="31">
        <v>1.2699999999999999E-2</v>
      </c>
      <c r="U31" s="31">
        <v>3.4299999999999997E-2</v>
      </c>
      <c r="V31" s="31">
        <v>6.4600000000000005E-2</v>
      </c>
      <c r="W31" s="31">
        <v>5.3900000000000003E-2</v>
      </c>
      <c r="X31" s="31">
        <v>0.15590000000000001</v>
      </c>
      <c r="Y31" s="31">
        <v>9.4000000000000004E-3</v>
      </c>
      <c r="Z31" s="31">
        <v>3.27E-2</v>
      </c>
      <c r="AA31" s="31">
        <v>8.9300000000000004E-2</v>
      </c>
      <c r="AB31" s="9">
        <v>6.9000000000000006E-2</v>
      </c>
      <c r="AC31" s="9">
        <v>9.7699999999999995E-2</v>
      </c>
      <c r="AD31" s="9">
        <v>6.3799999999999996E-2</v>
      </c>
      <c r="AE31" s="9">
        <v>1.14E-2</v>
      </c>
      <c r="AF31" s="9">
        <v>1.3899999999999999E-2</v>
      </c>
    </row>
    <row r="32" spans="1:32" ht="15.75" customHeight="1" x14ac:dyDescent="0.2">
      <c r="A32" s="8">
        <v>30</v>
      </c>
      <c r="B32" s="30">
        <v>45809</v>
      </c>
      <c r="C32" s="33">
        <v>1.0999999999999999E-2</v>
      </c>
      <c r="D32" s="33">
        <v>2.3999999999999998E-3</v>
      </c>
      <c r="E32" s="33">
        <v>1.0999999999999999E-2</v>
      </c>
      <c r="F32" s="33">
        <v>1.3299999999999999E-2</v>
      </c>
      <c r="G32" s="33">
        <v>-4.41E-2</v>
      </c>
      <c r="H32" s="33">
        <v>1.0999999999999999E-2</v>
      </c>
      <c r="I32" s="33">
        <v>1.34E-2</v>
      </c>
      <c r="J32" s="33">
        <v>1.2500000000000001E-2</v>
      </c>
      <c r="K32" s="33">
        <v>1.21E-2</v>
      </c>
      <c r="L32" s="33">
        <v>1.1599999999999999E-2</v>
      </c>
      <c r="M32" s="33">
        <v>6.4999999999999997E-3</v>
      </c>
      <c r="N32" s="33">
        <v>1.2500000000000001E-2</v>
      </c>
      <c r="O32" s="33">
        <v>1.7000000000000001E-2</v>
      </c>
      <c r="P32" s="33">
        <v>1.1900000000000001E-2</v>
      </c>
      <c r="Q32" s="33">
        <v>9.4999999999999998E-3</v>
      </c>
      <c r="R32" s="33">
        <v>2.1299999999999999E-2</v>
      </c>
      <c r="S32" s="33">
        <v>1.21E-2</v>
      </c>
      <c r="T32" s="33">
        <v>9.4000000000000004E-3</v>
      </c>
      <c r="U32" s="33">
        <v>1.6500000000000001E-2</v>
      </c>
      <c r="V32" s="33">
        <v>4.65E-2</v>
      </c>
      <c r="W32" s="33">
        <v>-5.9999999999999995E-4</v>
      </c>
      <c r="X32" s="33">
        <v>5.04E-2</v>
      </c>
      <c r="Y32" s="33">
        <v>2.3599999999999999E-2</v>
      </c>
      <c r="Z32" s="33">
        <v>2.8000000000000001E-2</v>
      </c>
      <c r="AA32" s="33">
        <v>2.0899999999999998E-2</v>
      </c>
      <c r="AB32" s="9">
        <v>-2.5000000000000001E-3</v>
      </c>
      <c r="AC32" s="9">
        <v>1.12E-2</v>
      </c>
      <c r="AD32" s="9">
        <v>-5.8999999999999999E-3</v>
      </c>
      <c r="AE32" s="9">
        <v>1.0999999999999999E-2</v>
      </c>
      <c r="AF32" s="9">
        <v>1.54E-2</v>
      </c>
    </row>
    <row r="33" spans="1:32" ht="15.75" customHeight="1" x14ac:dyDescent="0.2">
      <c r="A33" s="8">
        <v>31</v>
      </c>
      <c r="B33" s="30">
        <v>45839</v>
      </c>
      <c r="C33" s="31">
        <v>1.2800000000000001E-2</v>
      </c>
      <c r="D33" s="31">
        <v>2.5999999999999999E-3</v>
      </c>
      <c r="E33" s="31">
        <v>1.2800000000000001E-2</v>
      </c>
      <c r="F33" s="31">
        <v>-4.1700000000000001E-2</v>
      </c>
      <c r="G33" s="31">
        <v>2.6599999999999999E-2</v>
      </c>
      <c r="H33" s="31">
        <v>1.2800000000000001E-2</v>
      </c>
      <c r="I33" s="31">
        <v>1.3599999999999999E-2</v>
      </c>
      <c r="J33" s="31">
        <v>1.4800000000000001E-2</v>
      </c>
      <c r="K33" s="31">
        <v>1.4E-2</v>
      </c>
      <c r="L33" s="31">
        <v>1.3299999999999999E-2</v>
      </c>
      <c r="M33" s="31">
        <v>1.83E-2</v>
      </c>
      <c r="N33" s="31">
        <v>1.54E-2</v>
      </c>
      <c r="O33" s="31">
        <v>2.12E-2</v>
      </c>
      <c r="P33" s="31">
        <v>1.44E-2</v>
      </c>
      <c r="Q33" s="31">
        <v>2.4899999999999999E-2</v>
      </c>
      <c r="R33" s="31">
        <v>8.6999999999999994E-3</v>
      </c>
      <c r="S33" s="31">
        <v>1.4E-2</v>
      </c>
      <c r="T33" s="31">
        <v>1.6999999999999999E-3</v>
      </c>
      <c r="U33" s="31">
        <v>-3.8899999999999997E-2</v>
      </c>
      <c r="V33" s="31">
        <v>-6.0199999999999997E-2</v>
      </c>
      <c r="W33" s="31">
        <v>-7.4099999999999999E-2</v>
      </c>
      <c r="X33" s="31">
        <v>-0.11210000000000001</v>
      </c>
      <c r="Y33" s="31">
        <v>-8.0100000000000005E-2</v>
      </c>
      <c r="Z33" s="31">
        <v>-3.6999999999999998E-2</v>
      </c>
      <c r="AA33" s="31">
        <v>-1.32E-2</v>
      </c>
      <c r="AB33" s="9">
        <v>5.3400000000000003E-2</v>
      </c>
      <c r="AC33" s="9">
        <v>5.5899999999999998E-2</v>
      </c>
      <c r="AD33" s="9">
        <v>4.07E-2</v>
      </c>
      <c r="AE33" s="9">
        <v>1.2800000000000001E-2</v>
      </c>
      <c r="AF33" s="9">
        <v>-2.75E-2</v>
      </c>
    </row>
    <row r="34" spans="1:32" ht="15.75" customHeight="1" x14ac:dyDescent="0.2">
      <c r="A34" s="8">
        <v>32</v>
      </c>
      <c r="B34" s="30">
        <v>45870</v>
      </c>
      <c r="C34" s="33">
        <v>1.1599999999999999E-2</v>
      </c>
      <c r="D34" s="33">
        <v>-1.1000000000000001E-3</v>
      </c>
      <c r="E34" s="33">
        <v>1.1599999999999999E-2</v>
      </c>
      <c r="F34" s="33">
        <v>6.2799999999999995E-2</v>
      </c>
      <c r="G34" s="33">
        <v>-3.1399999999999997E-2</v>
      </c>
      <c r="H34" s="33">
        <v>1.1599999999999999E-2</v>
      </c>
      <c r="I34" s="33">
        <v>1.23E-2</v>
      </c>
      <c r="J34" s="33">
        <v>1.34E-2</v>
      </c>
      <c r="K34" s="33">
        <v>1.0699999999999999E-2</v>
      </c>
      <c r="L34" s="33">
        <v>1.23E-2</v>
      </c>
      <c r="M34" s="33">
        <v>1.2800000000000001E-2</v>
      </c>
      <c r="N34" s="33">
        <v>1.24E-2</v>
      </c>
      <c r="O34" s="33">
        <v>1.8200000000000001E-2</v>
      </c>
      <c r="P34" s="33">
        <v>1.49E-2</v>
      </c>
      <c r="Q34" s="33">
        <v>1.6199999999999999E-2</v>
      </c>
      <c r="R34" s="33">
        <v>2.3E-3</v>
      </c>
      <c r="S34" s="33">
        <v>1.0800000000000001E-2</v>
      </c>
      <c r="T34" s="33">
        <v>2.2200000000000001E-2</v>
      </c>
      <c r="U34" s="33">
        <v>6.5199999999999994E-2</v>
      </c>
      <c r="V34" s="33">
        <v>6.3500000000000001E-2</v>
      </c>
      <c r="W34" s="33">
        <v>9.6500000000000002E-2</v>
      </c>
      <c r="X34" s="33">
        <v>0.13320000000000001</v>
      </c>
      <c r="Y34" s="33">
        <v>6.0600000000000001E-2</v>
      </c>
      <c r="Z34" s="33">
        <v>7.5600000000000001E-2</v>
      </c>
      <c r="AA34" s="33">
        <v>8.3000000000000004E-2</v>
      </c>
      <c r="AB34" s="9">
        <v>-1.0500000000000001E-2</v>
      </c>
      <c r="AC34" s="9">
        <v>-2.2599999999999999E-2</v>
      </c>
      <c r="AD34" s="9">
        <v>-4.0000000000000001E-3</v>
      </c>
      <c r="AE34" s="9">
        <v>1.1599999999999999E-2</v>
      </c>
      <c r="AF34" s="9">
        <v>5.4800000000000001E-2</v>
      </c>
    </row>
    <row r="35" spans="1:32" ht="15.75" customHeight="1" x14ac:dyDescent="0.2">
      <c r="A35" s="8">
        <v>33</v>
      </c>
      <c r="B35" s="30">
        <v>45901</v>
      </c>
      <c r="C35" s="31">
        <v>1.2200000000000001E-2</v>
      </c>
      <c r="D35" s="31">
        <v>4.7999999999999996E-3</v>
      </c>
      <c r="E35" s="31">
        <v>1.2200000000000001E-2</v>
      </c>
      <c r="F35" s="31">
        <v>3.4000000000000002E-2</v>
      </c>
      <c r="G35" s="31">
        <v>-1.9900000000000001E-2</v>
      </c>
      <c r="H35" s="31">
        <v>1.2200000000000001E-2</v>
      </c>
      <c r="I35" s="31">
        <v>1.1900000000000001E-2</v>
      </c>
      <c r="J35" s="31">
        <v>1.2800000000000001E-2</v>
      </c>
      <c r="K35" s="31">
        <v>1.38E-2</v>
      </c>
      <c r="L35" s="31">
        <v>1.2800000000000001E-2</v>
      </c>
      <c r="M35" s="31">
        <v>9.2999999999999992E-3</v>
      </c>
      <c r="N35" s="31">
        <v>1.41E-2</v>
      </c>
      <c r="O35" s="31">
        <v>3.2300000000000002E-2</v>
      </c>
      <c r="P35" s="31">
        <v>2.1100000000000001E-2</v>
      </c>
      <c r="Q35" s="31">
        <v>4.1099999999999998E-2</v>
      </c>
      <c r="R35" s="31">
        <v>2.8199999999999999E-2</v>
      </c>
      <c r="S35" s="31">
        <v>1.38E-2</v>
      </c>
      <c r="T35" s="31">
        <v>1.9099999999999999E-2</v>
      </c>
      <c r="U35" s="31">
        <v>3.1899999999999998E-2</v>
      </c>
      <c r="V35" s="31">
        <v>3.8399999999999997E-2</v>
      </c>
      <c r="W35" s="31">
        <v>3.2599999999999997E-2</v>
      </c>
      <c r="X35" s="31">
        <v>4.1200000000000001E-2</v>
      </c>
      <c r="Y35" s="31">
        <v>4.2700000000000002E-2</v>
      </c>
      <c r="Z35" s="31">
        <v>2.0799999999999999E-2</v>
      </c>
      <c r="AA35" s="31">
        <v>2.69E-2</v>
      </c>
      <c r="AB35" s="9">
        <v>1.5100000000000001E-2</v>
      </c>
      <c r="AC35" s="9">
        <v>3.44E-2</v>
      </c>
      <c r="AD35" s="9">
        <v>1.4800000000000001E-2</v>
      </c>
      <c r="AE35" s="9">
        <v>1.2200000000000001E-2</v>
      </c>
      <c r="AF35" s="9">
        <v>2.8000000000000001E-2</v>
      </c>
    </row>
    <row r="36" spans="1:32" ht="15.75" customHeight="1" x14ac:dyDescent="0.2">
      <c r="A36" s="8">
        <v>34</v>
      </c>
      <c r="B36" s="30">
        <v>45931</v>
      </c>
      <c r="C36" s="33">
        <v>1.2800000000000001E-2</v>
      </c>
      <c r="D36" s="33">
        <v>8.9999999999999998E-4</v>
      </c>
      <c r="E36" s="33">
        <v>1.2800000000000001E-2</v>
      </c>
      <c r="F36" s="33">
        <v>2.2599999999999999E-2</v>
      </c>
      <c r="G36" s="33">
        <v>1.24E-2</v>
      </c>
      <c r="H36" s="33">
        <v>1.2800000000000001E-2</v>
      </c>
      <c r="I36" s="33">
        <v>1.2800000000000001E-2</v>
      </c>
      <c r="J36" s="33">
        <v>1.32E-2</v>
      </c>
      <c r="K36" s="33">
        <v>1.23E-2</v>
      </c>
      <c r="L36" s="33">
        <v>1.26E-2</v>
      </c>
      <c r="M36" s="33">
        <v>1.1599999999999999E-2</v>
      </c>
      <c r="N36" s="33">
        <v>1.2699999999999999E-2</v>
      </c>
      <c r="O36" s="33">
        <v>-3.3E-3</v>
      </c>
      <c r="P36" s="33">
        <v>4.1000000000000003E-3</v>
      </c>
      <c r="Q36" s="33">
        <v>1.2800000000000001E-2</v>
      </c>
      <c r="R36" s="33">
        <v>2.1700000000000001E-2</v>
      </c>
      <c r="S36" s="33">
        <v>1.24E-2</v>
      </c>
      <c r="T36" s="33">
        <v>1.3599999999999999E-2</v>
      </c>
      <c r="U36" s="33">
        <v>1.2699999999999999E-2</v>
      </c>
      <c r="V36" s="33">
        <v>1.7100000000000001E-2</v>
      </c>
      <c r="W36" s="33">
        <v>3.32E-2</v>
      </c>
      <c r="X36" s="33">
        <v>1.1000000000000001E-3</v>
      </c>
      <c r="Y36" s="33">
        <v>-8.8999999999999999E-3</v>
      </c>
      <c r="Z36" s="33">
        <v>1.37E-2</v>
      </c>
      <c r="AA36" s="33">
        <v>3.0499999999999999E-2</v>
      </c>
      <c r="AB36" s="9">
        <v>3.3799999999999997E-2</v>
      </c>
      <c r="AC36" s="9">
        <v>5.6800000000000003E-2</v>
      </c>
      <c r="AD36" s="9">
        <v>3.0599999999999999E-2</v>
      </c>
      <c r="AE36" s="9">
        <v>1.2800000000000001E-2</v>
      </c>
      <c r="AF36" s="9">
        <v>1.7299999999999999E-2</v>
      </c>
    </row>
    <row r="37" spans="1:32" ht="15.75" customHeight="1" x14ac:dyDescent="0.2">
      <c r="A37" s="8">
        <v>35</v>
      </c>
      <c r="B37" s="30">
        <v>45962</v>
      </c>
      <c r="C37" s="31">
        <v>1.0500000000000001E-2</v>
      </c>
      <c r="D37" s="31">
        <v>1.8E-3</v>
      </c>
      <c r="E37" s="31">
        <v>1.0500000000000001E-2</v>
      </c>
      <c r="F37" s="31">
        <v>6.3700000000000007E-2</v>
      </c>
      <c r="G37" s="31">
        <v>-9.4000000000000004E-3</v>
      </c>
      <c r="H37" s="31">
        <v>1.0500000000000001E-2</v>
      </c>
      <c r="I37" s="31">
        <v>1.0500000000000001E-2</v>
      </c>
      <c r="J37" s="31">
        <v>1.1299999999999999E-2</v>
      </c>
      <c r="K37" s="31">
        <v>1.0200000000000001E-2</v>
      </c>
      <c r="L37" s="31">
        <v>1.0800000000000001E-2</v>
      </c>
      <c r="M37" s="31">
        <v>1.23E-2</v>
      </c>
      <c r="N37" s="31">
        <v>1.09E-2</v>
      </c>
      <c r="O37" s="31">
        <v>8.8999999999999999E-3</v>
      </c>
      <c r="P37" s="31">
        <v>8.6999999999999994E-3</v>
      </c>
      <c r="Q37" s="31">
        <v>3.7100000000000001E-2</v>
      </c>
      <c r="R37" s="31">
        <v>1.43E-2</v>
      </c>
      <c r="S37" s="31">
        <v>1.03E-2</v>
      </c>
      <c r="T37" s="31">
        <v>1.03E-2</v>
      </c>
      <c r="U37" s="31">
        <v>4.0899999999999999E-2</v>
      </c>
      <c r="V37" s="31">
        <v>0.06</v>
      </c>
      <c r="W37" s="31">
        <v>6.0699999999999997E-2</v>
      </c>
      <c r="X37" s="31">
        <v>8.6599999999999996E-2</v>
      </c>
      <c r="Y37" s="31">
        <v>4.9099999999999998E-2</v>
      </c>
      <c r="Z37" s="31">
        <v>7.1199999999999999E-2</v>
      </c>
      <c r="AA37" s="31">
        <v>3.0700000000000002E-2</v>
      </c>
      <c r="AB37" s="9">
        <v>-5.4000000000000003E-3</v>
      </c>
      <c r="AC37" s="9">
        <v>-2.2700000000000001E-2</v>
      </c>
      <c r="AD37" s="9">
        <v>-6.3E-3</v>
      </c>
      <c r="AE37" s="9">
        <v>1.0500000000000001E-2</v>
      </c>
      <c r="AF37" s="9">
        <v>5.3999999999999999E-2</v>
      </c>
    </row>
    <row r="38" spans="1:32" ht="15.75" customHeight="1" x14ac:dyDescent="0.2">
      <c r="A38" s="8">
        <v>36</v>
      </c>
      <c r="B38" s="30">
        <v>45992</v>
      </c>
      <c r="C38" s="33">
        <v>1.2200000000000001E-2</v>
      </c>
      <c r="D38" s="33">
        <v>3.3E-3</v>
      </c>
      <c r="E38" s="33">
        <v>1.2200000000000001E-2</v>
      </c>
      <c r="F38" s="33">
        <v>1.29E-2</v>
      </c>
      <c r="G38" s="33">
        <v>3.1600000000000003E-2</v>
      </c>
      <c r="H38" s="33">
        <v>1.2200000000000001E-2</v>
      </c>
      <c r="I38" s="33">
        <v>1.23E-2</v>
      </c>
      <c r="J38" s="33">
        <v>1.47E-2</v>
      </c>
      <c r="K38" s="33">
        <v>1.2500000000000001E-2</v>
      </c>
      <c r="L38" s="33">
        <v>1.24E-2</v>
      </c>
      <c r="M38" s="33">
        <v>1.06E-2</v>
      </c>
      <c r="N38" s="33">
        <v>1.2E-2</v>
      </c>
      <c r="O38" s="33">
        <v>8.8999999999999999E-3</v>
      </c>
      <c r="P38" s="33">
        <v>8.3000000000000001E-3</v>
      </c>
      <c r="Q38" s="33">
        <v>1.4800000000000001E-2</v>
      </c>
      <c r="R38" s="33">
        <v>9.9000000000000008E-3</v>
      </c>
      <c r="S38" s="33">
        <v>1.2500000000000001E-2</v>
      </c>
      <c r="T38" s="33">
        <v>9.9000000000000008E-3</v>
      </c>
      <c r="U38" s="33">
        <v>-1.6400000000000001E-2</v>
      </c>
      <c r="V38" s="33">
        <v>1.23E-2</v>
      </c>
      <c r="W38" s="33">
        <v>-1.1999999999999999E-3</v>
      </c>
      <c r="X38" s="33">
        <v>8.5699999999999998E-2</v>
      </c>
      <c r="Y38" s="33">
        <v>-1.17E-2</v>
      </c>
      <c r="Z38" s="33">
        <v>2.8999999999999998E-3</v>
      </c>
      <c r="AA38" s="33">
        <v>2.9399999999999999E-2</v>
      </c>
      <c r="AB38" s="9">
        <v>3.1899999999999998E-2</v>
      </c>
      <c r="AC38" s="9">
        <v>2.75E-2</v>
      </c>
      <c r="AD38" s="9">
        <v>3.7900000000000003E-2</v>
      </c>
      <c r="AE38" s="9">
        <v>1.2200000000000001E-2</v>
      </c>
      <c r="AF38" s="9">
        <v>1.49E-2</v>
      </c>
    </row>
    <row r="39" spans="1:32" ht="15.75" customHeight="1" x14ac:dyDescent="0.2">
      <c r="A39" s="8">
        <v>37</v>
      </c>
      <c r="B39" s="30">
        <v>46023</v>
      </c>
      <c r="C39" s="31">
        <v>1.1599999999999999E-2</v>
      </c>
      <c r="D39" s="31">
        <v>3.3E-3</v>
      </c>
      <c r="E39" s="31">
        <v>1.1599999999999999E-2</v>
      </c>
      <c r="F39" s="31">
        <v>0.12559999999999999</v>
      </c>
      <c r="G39" s="31">
        <v>-4.9500000000000002E-2</v>
      </c>
      <c r="H39" s="31">
        <v>1.1599999999999999E-2</v>
      </c>
      <c r="I39" s="31">
        <v>1.2E-2</v>
      </c>
      <c r="J39" s="31">
        <v>1.3100000000000001E-2</v>
      </c>
      <c r="K39" s="31">
        <v>1.2200000000000001E-2</v>
      </c>
      <c r="L39" s="31">
        <v>1.2200000000000001E-2</v>
      </c>
      <c r="M39" s="31">
        <v>1.5699999999999999E-2</v>
      </c>
      <c r="N39" s="31">
        <v>1.34E-2</v>
      </c>
      <c r="O39" s="31">
        <v>3.1899999999999998E-2</v>
      </c>
      <c r="P39" s="31">
        <v>2.5000000000000001E-2</v>
      </c>
      <c r="Q39" s="31">
        <v>3.09E-2</v>
      </c>
      <c r="R39" s="31">
        <v>1.9199999999999998E-2</v>
      </c>
      <c r="S39" s="31">
        <v>1.2200000000000001E-2</v>
      </c>
      <c r="T39" s="31">
        <v>3.1699999999999999E-2</v>
      </c>
      <c r="U39" s="31">
        <v>5.21E-2</v>
      </c>
      <c r="V39" s="31">
        <v>0.1507</v>
      </c>
      <c r="W39" s="31">
        <v>6.4699999999999994E-2</v>
      </c>
      <c r="X39" s="31">
        <v>6.08E-2</v>
      </c>
      <c r="Y39" s="31">
        <v>0.1502</v>
      </c>
      <c r="Z39" s="31">
        <v>7.2499999999999995E-2</v>
      </c>
      <c r="AA39" s="31">
        <v>0.05</v>
      </c>
      <c r="AB39" s="9">
        <v>-3.1899999999999998E-2</v>
      </c>
      <c r="AC39" s="9">
        <v>-3.5499999999999997E-2</v>
      </c>
      <c r="AD39" s="9">
        <v>-1.4800000000000001E-2</v>
      </c>
      <c r="AE39" s="9">
        <v>1.1599999999999999E-2</v>
      </c>
      <c r="AF39" s="9">
        <v>0.104</v>
      </c>
    </row>
    <row r="40" spans="1:32" ht="15.75" customHeight="1" x14ac:dyDescent="0.2">
      <c r="A40" s="8">
        <v>38</v>
      </c>
      <c r="B40" s="30">
        <v>46054</v>
      </c>
      <c r="C40" s="33">
        <v>0.01</v>
      </c>
      <c r="D40" s="33">
        <v>7.0000000000000001E-3</v>
      </c>
      <c r="E40" s="33">
        <v>0.01</v>
      </c>
      <c r="F40" s="33">
        <v>4.0899999999999999E-2</v>
      </c>
      <c r="G40" s="33">
        <v>-1.54E-2</v>
      </c>
      <c r="H40" s="33">
        <v>0.01</v>
      </c>
      <c r="I40" s="33">
        <v>1.01E-2</v>
      </c>
      <c r="J40" s="33">
        <v>1.06E-2</v>
      </c>
      <c r="K40" s="33">
        <v>8.8999999999999999E-3</v>
      </c>
      <c r="L40" s="33">
        <v>0.01</v>
      </c>
      <c r="M40" s="33">
        <v>8.3000000000000001E-3</v>
      </c>
      <c r="N40" s="33">
        <v>8.6999999999999994E-3</v>
      </c>
      <c r="O40" s="33">
        <v>4.7999999999999996E-3</v>
      </c>
      <c r="P40" s="33">
        <v>5.0000000000000001E-3</v>
      </c>
      <c r="Q40" s="33">
        <v>1.5599999999999999E-2</v>
      </c>
      <c r="R40" s="33">
        <v>4.7000000000000002E-3</v>
      </c>
      <c r="S40" s="33">
        <v>8.9999999999999993E-3</v>
      </c>
      <c r="T40" s="33">
        <v>1.49E-2</v>
      </c>
      <c r="U40" s="33">
        <v>1.5699999999999999E-2</v>
      </c>
      <c r="V40" s="33">
        <v>0.04</v>
      </c>
      <c r="W40" s="33">
        <v>9.4999999999999998E-3</v>
      </c>
      <c r="X40" s="33">
        <v>-5.0000000000000001E-4</v>
      </c>
      <c r="Y40" s="33">
        <v>6.0199999999999997E-2</v>
      </c>
      <c r="Z40" s="33">
        <v>5.0299999999999997E-2</v>
      </c>
      <c r="AA40" s="33">
        <v>1.4800000000000001E-2</v>
      </c>
      <c r="AB40" s="9">
        <v>-3.3799999999999997E-2</v>
      </c>
      <c r="AC40" s="9">
        <v>-4.8500000000000001E-2</v>
      </c>
      <c r="AD40" s="9">
        <v>-1.0200000000000001E-2</v>
      </c>
      <c r="AE40" s="9">
        <v>0.01</v>
      </c>
      <c r="AF40" s="9">
        <v>4.58E-2</v>
      </c>
    </row>
    <row r="41" spans="1:32" ht="15.75" customHeight="1" x14ac:dyDescent="0.2">
      <c r="A41" s="8">
        <v>39</v>
      </c>
      <c r="B41" s="30">
        <v>46082</v>
      </c>
      <c r="C41" s="31">
        <v>1.21E-2</v>
      </c>
      <c r="D41" s="31">
        <v>7.1000000000000004E-3</v>
      </c>
      <c r="E41" s="31">
        <v>1.21E-2</v>
      </c>
      <c r="F41" s="31">
        <v>-7.0000000000000001E-3</v>
      </c>
      <c r="G41" s="31">
        <v>1.3599999999999999E-2</v>
      </c>
      <c r="H41" s="31">
        <v>1.1599999999999999E-2</v>
      </c>
      <c r="I41" s="31">
        <v>1.1599999999999999E-2</v>
      </c>
      <c r="J41" s="31">
        <v>1.15E-2</v>
      </c>
      <c r="K41" s="31">
        <v>6.6E-3</v>
      </c>
      <c r="L41" s="31">
        <v>1.06E-2</v>
      </c>
      <c r="M41" s="31">
        <v>7.4999999999999997E-3</v>
      </c>
      <c r="N41" s="31">
        <v>9.2999999999999992E-3</v>
      </c>
      <c r="O41" s="31">
        <v>-4.0000000000000001E-3</v>
      </c>
      <c r="P41" s="31">
        <v>-5.7000000000000002E-3</v>
      </c>
      <c r="Q41" s="31">
        <v>-2.75E-2</v>
      </c>
      <c r="R41" s="31">
        <v>-3.4200000000000001E-2</v>
      </c>
      <c r="S41" s="31">
        <v>9.2999999999999992E-3</v>
      </c>
      <c r="T41" s="31">
        <v>-2E-3</v>
      </c>
      <c r="U41" s="31">
        <v>-3.3E-3</v>
      </c>
      <c r="V41" s="31">
        <v>-0.1139</v>
      </c>
      <c r="W41" s="31">
        <v>2.2700000000000001E-2</v>
      </c>
      <c r="X41" s="31">
        <v>-7.7999999999999996E-3</v>
      </c>
      <c r="Y41" s="31">
        <v>-3.5999999999999997E-2</v>
      </c>
      <c r="Z41" s="31">
        <v>-5.28E-2</v>
      </c>
      <c r="AA41" s="31">
        <v>-5.1000000000000004E-3</v>
      </c>
      <c r="AB41" s="9">
        <v>-4.1799999999999997E-2</v>
      </c>
      <c r="AC41" s="9">
        <v>-4.0399999999999998E-2</v>
      </c>
      <c r="AD41" s="9">
        <v>-5.2299999999999999E-2</v>
      </c>
      <c r="AE41" s="9">
        <v>1.1599999999999999E-2</v>
      </c>
      <c r="AF41" s="9">
        <v>4.5999999999999999E-3</v>
      </c>
    </row>
    <row r="42" spans="1:32" ht="15.75" customHeight="1" x14ac:dyDescent="0.2">
      <c r="A42" s="8">
        <v>40</v>
      </c>
      <c r="B42" s="30">
        <v>46113</v>
      </c>
      <c r="C42" s="9">
        <v>1.09E-2</v>
      </c>
      <c r="D42" s="9">
        <v>6.7000000000000002E-3</v>
      </c>
      <c r="E42" s="9">
        <v>1.09E-2</v>
      </c>
      <c r="F42" s="9">
        <v>-8.0000000000000004E-4</v>
      </c>
      <c r="G42" s="9">
        <v>-4.4200000000000003E-2</v>
      </c>
      <c r="H42" s="9">
        <v>1.09E-2</v>
      </c>
      <c r="I42" s="9">
        <v>1.0699999999999999E-2</v>
      </c>
      <c r="J42" s="9">
        <v>1.04E-2</v>
      </c>
      <c r="K42" s="9">
        <v>1.09E-2</v>
      </c>
      <c r="L42" s="9">
        <v>7.7999999999999996E-3</v>
      </c>
      <c r="M42" s="9">
        <v>1.1299999999999999E-2</v>
      </c>
      <c r="N42" s="9">
        <v>7.7999999999999996E-3</v>
      </c>
      <c r="O42" s="9">
        <v>-1.0800000000000001E-2</v>
      </c>
      <c r="P42" s="9">
        <v>-7.6E-3</v>
      </c>
      <c r="Q42" s="9">
        <v>-1.7399999999999999E-2</v>
      </c>
      <c r="R42" s="9">
        <v>3.7999999999999999E-2</v>
      </c>
      <c r="S42" s="9">
        <v>1.09E-2</v>
      </c>
      <c r="T42" s="9">
        <v>2.9700000000000001E-2</v>
      </c>
      <c r="U42" s="9">
        <v>1.1599999999999999E-2</v>
      </c>
      <c r="V42" s="9">
        <v>9.74E-2</v>
      </c>
      <c r="W42" s="9">
        <v>7.0000000000000001E-3</v>
      </c>
      <c r="X42" s="9">
        <v>1.8100000000000002E-2</v>
      </c>
      <c r="Y42" s="9">
        <v>-4.2799999999999998E-2</v>
      </c>
      <c r="Z42" s="9">
        <v>-4.2099999999999999E-2</v>
      </c>
      <c r="AA42" s="9">
        <v>1.66E-2</v>
      </c>
      <c r="AB42" s="9">
        <v>5.8799999999999998E-2</v>
      </c>
      <c r="AC42" s="9">
        <v>0.1057</v>
      </c>
      <c r="AD42" s="9">
        <v>4.3499999999999997E-2</v>
      </c>
      <c r="AE42" s="9">
        <v>1.09E-2</v>
      </c>
      <c r="AF42" s="9">
        <v>-1.6400000000000001E-2</v>
      </c>
    </row>
    <row r="43" spans="1:32" ht="15.75" customHeight="1" x14ac:dyDescent="0.2">
      <c r="A43" s="8">
        <v>41</v>
      </c>
      <c r="B43" s="30">
        <v>46143</v>
      </c>
      <c r="C43" s="9">
        <v>1.0699999999999999E-2</v>
      </c>
      <c r="D43" s="9">
        <v>5.0000000000000001E-3</v>
      </c>
      <c r="E43" s="9">
        <v>1.0699999999999999E-2</v>
      </c>
      <c r="F43" s="9">
        <v>-7.22E-2</v>
      </c>
      <c r="G43" s="9">
        <v>1.37E-2</v>
      </c>
      <c r="H43" s="34">
        <v>1.0699999999999999E-2</v>
      </c>
      <c r="I43" s="9">
        <v>1.09E-2</v>
      </c>
      <c r="J43" s="34">
        <v>1.0800000000000001E-2</v>
      </c>
      <c r="K43" s="34">
        <v>1.44E-2</v>
      </c>
      <c r="L43" s="9">
        <v>1.3899999999999999E-2</v>
      </c>
      <c r="M43" s="9">
        <v>1.5900000000000001E-2</v>
      </c>
      <c r="N43" s="9">
        <v>1.55E-2</v>
      </c>
      <c r="O43" s="9">
        <v>6.4999999999999997E-3</v>
      </c>
      <c r="P43" s="9">
        <v>9.1000000000000004E-3</v>
      </c>
      <c r="Q43" s="9">
        <v>1E-3</v>
      </c>
      <c r="R43" s="9">
        <v>4.5999999999999999E-3</v>
      </c>
      <c r="S43" s="34">
        <v>1.4200000000000001E-2</v>
      </c>
      <c r="T43" s="9">
        <v>1.6000000000000001E-3</v>
      </c>
      <c r="U43" s="9">
        <v>-4.8099999999999997E-2</v>
      </c>
      <c r="V43" s="9">
        <v>8.7300000000000003E-2</v>
      </c>
      <c r="W43" s="9">
        <v>-5.8599999999999999E-2</v>
      </c>
      <c r="X43" s="9">
        <v>-1.2E-2</v>
      </c>
      <c r="Y43" s="9">
        <v>-7.5899999999999995E-2</v>
      </c>
      <c r="Z43" s="9">
        <v>-5.0099999999999999E-2</v>
      </c>
      <c r="AA43" s="9">
        <v>-2.18E-2</v>
      </c>
      <c r="AB43" s="9">
        <v>6.93E-2</v>
      </c>
      <c r="AC43" s="9">
        <v>0.12520000000000001</v>
      </c>
      <c r="AD43" s="9">
        <v>6.4299999999999996E-2</v>
      </c>
      <c r="AE43" s="9">
        <v>1.0699999999999999E-2</v>
      </c>
      <c r="AF43" s="9">
        <v>-7.1999999999999995E-2</v>
      </c>
    </row>
    <row r="44" spans="1:32" ht="15.75" customHeight="1" x14ac:dyDescent="0.2">
      <c r="A44" s="8">
        <v>42</v>
      </c>
      <c r="B44" s="30">
        <v>46174</v>
      </c>
      <c r="C44" s="9">
        <v>1.12E-2</v>
      </c>
      <c r="D44" s="9">
        <v>4.1000000000000003E-3</v>
      </c>
      <c r="E44" s="9">
        <v>1.12E-2</v>
      </c>
      <c r="F44" s="9">
        <v>-1.01E-2</v>
      </c>
      <c r="G44" s="9">
        <v>2.3699999999999999E-2</v>
      </c>
      <c r="H44" s="9">
        <v>1.12E-2</v>
      </c>
      <c r="I44" s="9">
        <v>1.1599999999999999E-2</v>
      </c>
      <c r="J44" s="9">
        <v>1.03E-2</v>
      </c>
      <c r="K44" s="9">
        <v>1.1900000000000001E-2</v>
      </c>
      <c r="L44" s="9">
        <v>1.21E-2</v>
      </c>
      <c r="M44" s="9">
        <v>1.0699999999999999E-2</v>
      </c>
      <c r="N44" s="9">
        <v>1.2E-2</v>
      </c>
      <c r="O44" s="9">
        <v>1.7999999999999999E-2</v>
      </c>
      <c r="P44" s="9">
        <v>2.0799999999999999E-2</v>
      </c>
      <c r="Q44" s="9">
        <v>-5.8999999999999999E-3</v>
      </c>
      <c r="R44" s="9">
        <v>1.7399999999999999E-2</v>
      </c>
      <c r="S44" s="9">
        <v>1.1900000000000001E-2</v>
      </c>
      <c r="T44" s="9">
        <v>-9.4999999999999998E-3</v>
      </c>
      <c r="U44" s="9">
        <v>1.6999999999999999E-3</v>
      </c>
      <c r="V44" s="9">
        <v>7.4000000000000003E-3</v>
      </c>
      <c r="W44" s="9">
        <v>-2.8999999999999998E-3</v>
      </c>
      <c r="X44" s="9">
        <v>-3.5999999999999999E-3</v>
      </c>
      <c r="Y44" s="9">
        <v>1.9E-3</v>
      </c>
      <c r="Z44" s="9">
        <v>-4.6100000000000002E-2</v>
      </c>
      <c r="AA44" s="9">
        <v>6.88E-2</v>
      </c>
      <c r="AB44" s="9">
        <v>1.2200000000000001E-2</v>
      </c>
      <c r="AC44" s="9">
        <v>2.3E-2</v>
      </c>
      <c r="AD44" s="9">
        <v>1.9800000000000002E-2</v>
      </c>
      <c r="AE44" s="9">
        <v>1.12E-2</v>
      </c>
      <c r="AF44" s="9">
        <v>1.23E-2</v>
      </c>
    </row>
    <row r="45" spans="1:32" ht="15.75" customHeight="1" x14ac:dyDescent="0.2">
      <c r="A45" s="8">
        <v>43</v>
      </c>
      <c r="B45" s="30">
        <v>46204</v>
      </c>
      <c r="C45" s="8"/>
      <c r="D45" s="8"/>
      <c r="E45" s="8"/>
      <c r="F45" s="8"/>
      <c r="G45" s="8"/>
      <c r="H45" s="8"/>
      <c r="I45" s="8"/>
      <c r="J45" s="8"/>
      <c r="AF45" s="9"/>
    </row>
    <row r="48" spans="1:32" ht="15.75" customHeight="1" x14ac:dyDescent="0.2">
      <c r="C48" s="9"/>
      <c r="D48" s="9"/>
      <c r="E48" s="9"/>
      <c r="F48" s="9"/>
    </row>
    <row r="49" spans="1:11" ht="15.75" customHeight="1" x14ac:dyDescent="0.2">
      <c r="C49" s="9"/>
      <c r="D49" s="9"/>
      <c r="E49" s="9"/>
      <c r="F49" s="9"/>
    </row>
    <row r="50" spans="1:11" ht="15.75" customHeight="1" x14ac:dyDescent="0.2">
      <c r="A50" t="s">
        <v>136</v>
      </c>
      <c r="B50" s="20" t="s">
        <v>66</v>
      </c>
      <c r="C50" t="s">
        <v>67</v>
      </c>
      <c r="D50" t="s">
        <v>68</v>
      </c>
      <c r="E50" t="s">
        <v>69</v>
      </c>
      <c r="F50" t="s">
        <v>70</v>
      </c>
      <c r="G50" t="s">
        <v>71</v>
      </c>
      <c r="H50" t="s">
        <v>72</v>
      </c>
      <c r="I50" t="s">
        <v>73</v>
      </c>
      <c r="J50" t="s">
        <v>76</v>
      </c>
      <c r="K50" t="s">
        <v>3</v>
      </c>
    </row>
    <row r="51" spans="1:11" ht="15.75" customHeight="1" x14ac:dyDescent="0.2">
      <c r="A51">
        <v>57</v>
      </c>
      <c r="B51" s="25" t="s">
        <v>17</v>
      </c>
      <c r="C51" s="9">
        <v>2.0164999999999999E-2</v>
      </c>
      <c r="D51" s="9">
        <v>4.2716666666666701E-2</v>
      </c>
      <c r="E51" s="9">
        <v>2.04291666666667E-2</v>
      </c>
      <c r="F51" s="9">
        <v>2.1886111111111099E-2</v>
      </c>
      <c r="G51" s="9">
        <v>3.6851186196980601</v>
      </c>
      <c r="H51" s="9">
        <v>1.9762192664248299</v>
      </c>
      <c r="I51" s="9">
        <v>2.1592217045765998</v>
      </c>
      <c r="J51" s="35">
        <v>1000</v>
      </c>
      <c r="K51" t="s">
        <v>183</v>
      </c>
    </row>
    <row r="52" spans="1:11" ht="15.75" customHeight="1" x14ac:dyDescent="0.2">
      <c r="A52">
        <v>56</v>
      </c>
      <c r="B52" s="25" t="s">
        <v>126</v>
      </c>
      <c r="C52" s="9">
        <v>1.524E-2</v>
      </c>
      <c r="D52" s="9">
        <v>2.8066666666666702E-2</v>
      </c>
      <c r="E52" s="9">
        <v>1.6504166666666702E-2</v>
      </c>
      <c r="F52" s="9">
        <v>1.7888888888888899E-2</v>
      </c>
      <c r="G52" s="9">
        <v>2.4212796549245201</v>
      </c>
      <c r="H52" s="9">
        <v>1.59653365578396</v>
      </c>
      <c r="I52" s="9">
        <v>1.76486708687312</v>
      </c>
      <c r="J52" s="35">
        <v>1000</v>
      </c>
      <c r="K52" t="s">
        <v>183</v>
      </c>
    </row>
    <row r="53" spans="1:11" ht="15.75" customHeight="1" x14ac:dyDescent="0.2">
      <c r="A53">
        <v>27</v>
      </c>
      <c r="B53" s="11" t="s">
        <v>10</v>
      </c>
      <c r="C53" s="9">
        <v>1.2342499999999999E-2</v>
      </c>
      <c r="D53" s="9">
        <v>1.18416666666667E-2</v>
      </c>
      <c r="E53" s="9">
        <v>1.1566666666666701E-2</v>
      </c>
      <c r="F53" s="9">
        <v>1.3441666666666701E-2</v>
      </c>
      <c r="G53" s="9">
        <v>1.0215672178288999</v>
      </c>
      <c r="H53" s="9">
        <v>1.1189036678758599</v>
      </c>
      <c r="I53" s="9">
        <v>1.32611674431351</v>
      </c>
      <c r="J53" s="35">
        <v>3000</v>
      </c>
      <c r="K53" t="s">
        <v>183</v>
      </c>
    </row>
    <row r="54" spans="1:11" ht="15.75" customHeight="1" x14ac:dyDescent="0.2">
      <c r="A54">
        <v>43</v>
      </c>
      <c r="B54" s="24" t="s">
        <v>115</v>
      </c>
      <c r="C54" s="9">
        <v>1.1542500000000001E-2</v>
      </c>
      <c r="D54" s="9">
        <v>1.44333333333333E-2</v>
      </c>
      <c r="E54" s="9">
        <v>1.45083333333333E-2</v>
      </c>
      <c r="F54" s="9">
        <v>1.22222222222222E-2</v>
      </c>
      <c r="G54" s="9">
        <v>1.2451473759884999</v>
      </c>
      <c r="H54" s="9">
        <v>1.40346634421604</v>
      </c>
      <c r="I54" s="9">
        <v>1.2058098109071</v>
      </c>
      <c r="J54" s="35">
        <v>50000</v>
      </c>
      <c r="K54" t="s">
        <v>184</v>
      </c>
    </row>
    <row r="55" spans="1:11" ht="15.75" customHeight="1" x14ac:dyDescent="0.2">
      <c r="A55">
        <v>46</v>
      </c>
      <c r="B55" s="24" t="s">
        <v>118</v>
      </c>
      <c r="C55" s="9">
        <v>1.1035E-2</v>
      </c>
      <c r="D55" s="9">
        <v>1.8525E-2</v>
      </c>
      <c r="E55" s="9">
        <v>1.2116666666666699E-2</v>
      </c>
      <c r="F55" s="9">
        <v>1.19888888888889E-2</v>
      </c>
      <c r="G55" s="9">
        <v>1.5981308411215001</v>
      </c>
      <c r="H55" s="9">
        <v>1.17210802095929</v>
      </c>
      <c r="I55" s="9">
        <v>1.1827898054261401</v>
      </c>
      <c r="J55" s="35">
        <v>500</v>
      </c>
      <c r="K55" t="s">
        <v>183</v>
      </c>
    </row>
    <row r="56" spans="1:11" ht="15.75" customHeight="1" x14ac:dyDescent="0.2">
      <c r="A56">
        <v>11</v>
      </c>
      <c r="B56" s="23" t="s">
        <v>88</v>
      </c>
      <c r="C56" s="9">
        <v>1.1075E-2</v>
      </c>
      <c r="D56" s="9">
        <v>1.0408333333333301E-2</v>
      </c>
      <c r="E56" s="9">
        <v>9.9416666666666698E-3</v>
      </c>
      <c r="F56" s="9">
        <v>1.1933333333333299E-2</v>
      </c>
      <c r="G56" s="9">
        <v>0.897915168943206</v>
      </c>
      <c r="H56" s="9">
        <v>0.96170898831116503</v>
      </c>
      <c r="I56" s="9">
        <v>1.1773088517401999</v>
      </c>
      <c r="J56" s="35">
        <v>1000</v>
      </c>
      <c r="K56" t="s">
        <v>183</v>
      </c>
    </row>
    <row r="57" spans="1:11" ht="15.75" customHeight="1" x14ac:dyDescent="0.2">
      <c r="A57">
        <v>12</v>
      </c>
      <c r="B57" s="23" t="s">
        <v>89</v>
      </c>
      <c r="C57" s="9">
        <v>1.0495000000000001E-2</v>
      </c>
      <c r="D57" s="9">
        <v>1.0791666666666699E-2</v>
      </c>
      <c r="E57" s="9">
        <v>1.04625E-2</v>
      </c>
      <c r="F57" s="9">
        <v>1.10555555555556E-2</v>
      </c>
      <c r="G57" s="9">
        <v>0.93098490294752001</v>
      </c>
      <c r="H57" s="9">
        <v>1.01209189842805</v>
      </c>
      <c r="I57" s="9">
        <v>1.0907097835023301</v>
      </c>
      <c r="J57" s="35">
        <v>1000</v>
      </c>
      <c r="K57" t="s">
        <v>184</v>
      </c>
    </row>
    <row r="58" spans="1:11" ht="15.75" customHeight="1" x14ac:dyDescent="0.2">
      <c r="A58">
        <v>17</v>
      </c>
      <c r="B58" s="23" t="s">
        <v>93</v>
      </c>
      <c r="C58" s="9">
        <v>1.0175E-2</v>
      </c>
      <c r="D58" s="9">
        <v>1.0916666666666699E-2</v>
      </c>
      <c r="E58" s="9">
        <v>1.03333333333333E-2</v>
      </c>
      <c r="F58" s="9">
        <v>1.0958333333333301E-2</v>
      </c>
      <c r="G58" s="9">
        <v>0.94176851186196997</v>
      </c>
      <c r="H58" s="9">
        <v>0.99959693671906502</v>
      </c>
      <c r="I58" s="9">
        <v>1.08111811455193</v>
      </c>
      <c r="J58" s="35">
        <v>500</v>
      </c>
      <c r="K58" t="s">
        <v>184</v>
      </c>
    </row>
    <row r="59" spans="1:11" ht="15.75" customHeight="1" x14ac:dyDescent="0.2">
      <c r="A59">
        <v>13</v>
      </c>
      <c r="B59" s="23" t="s">
        <v>90</v>
      </c>
      <c r="C59" s="9">
        <v>1.02275E-2</v>
      </c>
      <c r="D59" s="9">
        <v>1.00416666666667E-2</v>
      </c>
      <c r="E59" s="9">
        <v>1.01916666666667E-2</v>
      </c>
      <c r="F59" s="9">
        <v>1.0919444444444501E-2</v>
      </c>
      <c r="G59" s="9">
        <v>0.86628324946082003</v>
      </c>
      <c r="H59" s="9">
        <v>0.98589278516727097</v>
      </c>
      <c r="I59" s="9">
        <v>1.07728144697177</v>
      </c>
      <c r="J59" s="35">
        <v>1000</v>
      </c>
      <c r="K59" t="s">
        <v>184</v>
      </c>
    </row>
    <row r="60" spans="1:11" ht="15.75" customHeight="1" x14ac:dyDescent="0.2">
      <c r="A60">
        <v>7</v>
      </c>
      <c r="B60" s="23" t="s">
        <v>7</v>
      </c>
      <c r="C60" s="9">
        <v>1.08025E-2</v>
      </c>
      <c r="D60" s="9">
        <v>1.1933333333333299E-2</v>
      </c>
      <c r="E60" s="9">
        <v>1.0891666666666701E-2</v>
      </c>
      <c r="F60" s="9">
        <v>1.0855555555555599E-2</v>
      </c>
      <c r="G60" s="9">
        <v>1.0294751976995</v>
      </c>
      <c r="H60" s="9">
        <v>1.0536074163643701</v>
      </c>
      <c r="I60" s="9">
        <v>1.07097835023294</v>
      </c>
      <c r="J60" s="35">
        <v>1000</v>
      </c>
      <c r="K60" t="s">
        <v>183</v>
      </c>
    </row>
    <row r="61" spans="1:11" ht="15.75" customHeight="1" x14ac:dyDescent="0.2">
      <c r="A61">
        <v>15</v>
      </c>
      <c r="B61" s="23" t="s">
        <v>8</v>
      </c>
      <c r="C61" s="9">
        <v>1.0677499999999999E-2</v>
      </c>
      <c r="D61" s="9">
        <v>1.1558333333333301E-2</v>
      </c>
      <c r="E61" s="9">
        <v>1.06208333333333E-2</v>
      </c>
      <c r="F61" s="9">
        <v>1.07583333333333E-2</v>
      </c>
      <c r="G61" s="9">
        <v>0.99712437095614703</v>
      </c>
      <c r="H61" s="9">
        <v>1.0274083031035901</v>
      </c>
      <c r="I61" s="9">
        <v>1.0613866812825401</v>
      </c>
      <c r="J61" s="35">
        <v>500</v>
      </c>
      <c r="K61" t="s">
        <v>183</v>
      </c>
    </row>
    <row r="62" spans="1:11" ht="15.75" customHeight="1" x14ac:dyDescent="0.2">
      <c r="A62">
        <v>22</v>
      </c>
      <c r="B62" s="23" t="s">
        <v>9</v>
      </c>
      <c r="C62" s="9">
        <v>1.02025E-2</v>
      </c>
      <c r="D62" s="9">
        <v>1.1733333333333301E-2</v>
      </c>
      <c r="E62" s="9">
        <v>1.0645833333333301E-2</v>
      </c>
      <c r="F62" s="9">
        <v>1.06138888888889E-2</v>
      </c>
      <c r="G62" s="9">
        <v>1.01222142343638</v>
      </c>
      <c r="H62" s="9">
        <v>1.0298266827892</v>
      </c>
      <c r="I62" s="9">
        <v>1.0471362016990999</v>
      </c>
      <c r="J62" s="35">
        <v>1000</v>
      </c>
      <c r="K62" t="s">
        <v>183</v>
      </c>
    </row>
    <row r="63" spans="1:11" ht="15.75" customHeight="1" x14ac:dyDescent="0.2">
      <c r="A63">
        <v>37</v>
      </c>
      <c r="B63" s="24" t="s">
        <v>110</v>
      </c>
      <c r="C63" s="9">
        <v>0.01</v>
      </c>
      <c r="D63" s="9">
        <v>1.4591666666666701E-2</v>
      </c>
      <c r="E63" s="9">
        <v>1.13875E-2</v>
      </c>
      <c r="F63" s="9">
        <v>1.0547222222222199E-2</v>
      </c>
      <c r="G63" s="9">
        <v>1.2588066139467999</v>
      </c>
      <c r="H63" s="9">
        <v>1.10157194679565</v>
      </c>
      <c r="I63" s="9">
        <v>1.04055905727597</v>
      </c>
      <c r="J63" s="35">
        <v>500</v>
      </c>
      <c r="K63" t="s">
        <v>183</v>
      </c>
    </row>
    <row r="64" spans="1:11" ht="15.75" customHeight="1" x14ac:dyDescent="0.2">
      <c r="A64">
        <v>16</v>
      </c>
      <c r="B64" s="23" t="s">
        <v>92</v>
      </c>
      <c r="C64" s="9">
        <v>1.0335E-2</v>
      </c>
      <c r="D64" s="9">
        <v>1.1441666666666701E-2</v>
      </c>
      <c r="E64" s="9">
        <v>1.0175E-2</v>
      </c>
      <c r="F64" s="9">
        <v>1.02361111111111E-2</v>
      </c>
      <c r="G64" s="9">
        <v>0.98705966930265998</v>
      </c>
      <c r="H64" s="9">
        <v>0.98428053204353105</v>
      </c>
      <c r="I64" s="9">
        <v>1.00986571663469</v>
      </c>
      <c r="J64" s="35">
        <v>100</v>
      </c>
      <c r="K64" t="s">
        <v>184</v>
      </c>
    </row>
    <row r="65" spans="1:11" ht="15.75" customHeight="1" x14ac:dyDescent="0.2">
      <c r="A65">
        <v>6</v>
      </c>
      <c r="B65" s="23" t="s">
        <v>6</v>
      </c>
      <c r="C65" s="9">
        <v>1.013E-2</v>
      </c>
      <c r="D65" s="9">
        <v>1.155E-2</v>
      </c>
      <c r="E65" s="9">
        <v>1.03E-2</v>
      </c>
      <c r="F65" s="9">
        <v>1.0108333333333301E-2</v>
      </c>
      <c r="G65" s="9">
        <v>0.99640546369518301</v>
      </c>
      <c r="H65" s="9">
        <v>0.99637243047158397</v>
      </c>
      <c r="I65" s="9">
        <v>0.99725952315702904</v>
      </c>
      <c r="J65" s="35">
        <v>30</v>
      </c>
      <c r="K65" t="s">
        <v>183</v>
      </c>
    </row>
    <row r="66" spans="1:11" ht="15.75" customHeight="1" x14ac:dyDescent="0.2">
      <c r="A66">
        <v>35</v>
      </c>
      <c r="B66" s="24" t="s">
        <v>108</v>
      </c>
      <c r="C66" s="9">
        <v>9.8849999999999997E-3</v>
      </c>
      <c r="D66" s="9">
        <v>1.23916666666667E-2</v>
      </c>
      <c r="E66" s="9">
        <v>1.1962499999999999E-2</v>
      </c>
      <c r="F66" s="9">
        <v>1.01E-2</v>
      </c>
      <c r="G66" s="9">
        <v>1.0690150970524801</v>
      </c>
      <c r="H66" s="9">
        <v>1.1571946795646899</v>
      </c>
      <c r="I66" s="9">
        <v>0.99643738010413896</v>
      </c>
      <c r="J66" s="35">
        <v>500</v>
      </c>
      <c r="K66" t="s">
        <v>184</v>
      </c>
    </row>
    <row r="67" spans="1:11" ht="15.75" customHeight="1" x14ac:dyDescent="0.2">
      <c r="A67">
        <v>26</v>
      </c>
      <c r="B67" s="11" t="s">
        <v>100</v>
      </c>
      <c r="C67" s="9">
        <v>1.0087499999999999E-2</v>
      </c>
      <c r="D67" s="9">
        <v>1.1566666666666701E-2</v>
      </c>
      <c r="E67" s="9">
        <v>1.02875E-2</v>
      </c>
      <c r="F67" s="9">
        <v>1.00777777777778E-2</v>
      </c>
      <c r="G67" s="9">
        <v>0.99784327821711005</v>
      </c>
      <c r="H67" s="9">
        <v>0.99516324062877903</v>
      </c>
      <c r="I67" s="9">
        <v>0.99424499862976201</v>
      </c>
      <c r="J67" s="35">
        <v>500</v>
      </c>
      <c r="K67" t="s">
        <v>184</v>
      </c>
    </row>
    <row r="68" spans="1:11" ht="15.75" customHeight="1" x14ac:dyDescent="0.2">
      <c r="A68">
        <v>24</v>
      </c>
      <c r="B68" s="23" t="s">
        <v>98</v>
      </c>
      <c r="C68" s="9">
        <v>1.0047499999999999E-2</v>
      </c>
      <c r="D68" s="9">
        <v>1.0241666666666699E-2</v>
      </c>
      <c r="E68" s="9">
        <v>1.04541666666667E-2</v>
      </c>
      <c r="F68" s="9">
        <v>9.8638888888888908E-3</v>
      </c>
      <c r="G68" s="9">
        <v>0.88353702372394005</v>
      </c>
      <c r="H68" s="9">
        <v>1.0112857718661801</v>
      </c>
      <c r="I68" s="9">
        <v>0.97314332693888705</v>
      </c>
      <c r="J68" s="35">
        <v>500</v>
      </c>
      <c r="K68" t="s">
        <v>184</v>
      </c>
    </row>
    <row r="69" spans="1:11" ht="15.75" customHeight="1" x14ac:dyDescent="0.2">
      <c r="A69">
        <v>47</v>
      </c>
      <c r="B69" s="24" t="s">
        <v>119</v>
      </c>
      <c r="C69" s="9">
        <v>9.6550000000000004E-3</v>
      </c>
      <c r="D69" s="9">
        <v>5.3749999999999996E-3</v>
      </c>
      <c r="E69" s="9">
        <v>9.5250000000000005E-3</v>
      </c>
      <c r="F69" s="9">
        <v>9.7527777777777803E-3</v>
      </c>
      <c r="G69" s="9">
        <v>0.46369518332135101</v>
      </c>
      <c r="H69" s="9">
        <v>0.92140266021765405</v>
      </c>
      <c r="I69" s="9">
        <v>0.96218141956700498</v>
      </c>
      <c r="J69" s="35">
        <v>500</v>
      </c>
      <c r="K69" t="s">
        <v>185</v>
      </c>
    </row>
    <row r="70" spans="1:11" ht="15.75" customHeight="1" x14ac:dyDescent="0.2">
      <c r="A70">
        <v>28</v>
      </c>
      <c r="B70" s="11" t="s">
        <v>101</v>
      </c>
      <c r="C70" s="9">
        <v>9.5399999999999999E-3</v>
      </c>
      <c r="D70" s="9">
        <v>9.3916666666666697E-3</v>
      </c>
      <c r="E70" s="9">
        <v>9.5875000000000005E-3</v>
      </c>
      <c r="F70" s="9">
        <v>9.4527777777777804E-3</v>
      </c>
      <c r="G70" s="9">
        <v>0.81020848310568006</v>
      </c>
      <c r="H70" s="9">
        <v>0.92744860943168095</v>
      </c>
      <c r="I70" s="9">
        <v>0.93258426966292096</v>
      </c>
      <c r="J70" s="35">
        <v>500</v>
      </c>
      <c r="K70" t="s">
        <v>183</v>
      </c>
    </row>
    <row r="71" spans="1:11" ht="15.75" customHeight="1" x14ac:dyDescent="0.2">
      <c r="A71">
        <v>19</v>
      </c>
      <c r="B71" s="23" t="s">
        <v>94</v>
      </c>
      <c r="C71" s="9">
        <v>8.4200000000000004E-3</v>
      </c>
      <c r="D71" s="9">
        <v>8.2749999999999994E-3</v>
      </c>
      <c r="E71" s="9">
        <v>8.1333333333333292E-3</v>
      </c>
      <c r="F71" s="9">
        <v>8.98888888888889E-3</v>
      </c>
      <c r="G71" s="9">
        <v>0.71387491013659299</v>
      </c>
      <c r="H71" s="9">
        <v>0.78677952438532806</v>
      </c>
      <c r="I71" s="9">
        <v>0.88681830638531101</v>
      </c>
      <c r="J71" s="35">
        <v>1000</v>
      </c>
      <c r="K71" t="s">
        <v>184</v>
      </c>
    </row>
    <row r="72" spans="1:11" ht="15.75" customHeight="1" x14ac:dyDescent="0.2">
      <c r="A72">
        <v>30</v>
      </c>
      <c r="B72" s="11" t="s">
        <v>103</v>
      </c>
      <c r="C72" s="9">
        <v>9.0799999999999995E-3</v>
      </c>
      <c r="D72" s="9">
        <v>1.03833333333333E-2</v>
      </c>
      <c r="E72" s="9">
        <v>8.4791666666666696E-3</v>
      </c>
      <c r="F72" s="9">
        <v>8.7472222222222205E-3</v>
      </c>
      <c r="G72" s="9">
        <v>0.89575844716031605</v>
      </c>
      <c r="H72" s="9">
        <v>0.82023377670294195</v>
      </c>
      <c r="I72" s="9">
        <v>0.86297615785146597</v>
      </c>
      <c r="J72" s="35">
        <v>100</v>
      </c>
      <c r="K72" t="s">
        <v>185</v>
      </c>
    </row>
    <row r="73" spans="1:11" ht="15.75" customHeight="1" x14ac:dyDescent="0.2">
      <c r="A73">
        <v>58</v>
      </c>
      <c r="B73" s="25" t="s">
        <v>127</v>
      </c>
      <c r="C73" s="9">
        <v>3.7850000000000002E-3</v>
      </c>
      <c r="D73" s="9">
        <v>1.8024999999999999E-2</v>
      </c>
      <c r="E73" s="9">
        <v>9.1708333333333399E-3</v>
      </c>
      <c r="F73" s="9">
        <v>8.6833333333333398E-3</v>
      </c>
      <c r="G73" s="9">
        <v>1.5549964054637</v>
      </c>
      <c r="H73" s="9">
        <v>0.88714228133816997</v>
      </c>
      <c r="I73" s="9">
        <v>0.85667306111263397</v>
      </c>
      <c r="J73" s="35">
        <v>5000</v>
      </c>
      <c r="K73" t="s">
        <v>183</v>
      </c>
    </row>
    <row r="74" spans="1:11" ht="15.75" customHeight="1" x14ac:dyDescent="0.2">
      <c r="A74">
        <v>34</v>
      </c>
      <c r="B74" s="24" t="s">
        <v>107</v>
      </c>
      <c r="C74" s="9">
        <v>6.5174999999999999E-3</v>
      </c>
      <c r="D74" s="9">
        <v>5.3583333333333304E-3</v>
      </c>
      <c r="E74" s="9">
        <v>8.5874999999999996E-3</v>
      </c>
      <c r="F74" s="9">
        <v>7.1527777777777796E-3</v>
      </c>
      <c r="G74" s="9">
        <v>0.46225736879942497</v>
      </c>
      <c r="H74" s="9">
        <v>0.83071342200725495</v>
      </c>
      <c r="I74" s="9">
        <v>0.70567278706494896</v>
      </c>
      <c r="J74" s="35">
        <v>5000</v>
      </c>
      <c r="K74" t="s">
        <v>184</v>
      </c>
    </row>
    <row r="75" spans="1:11" ht="15.75" customHeight="1" x14ac:dyDescent="0.2">
      <c r="A75">
        <v>29</v>
      </c>
      <c r="B75" s="11" t="s">
        <v>102</v>
      </c>
      <c r="C75" s="9">
        <v>6.7850000000000002E-3</v>
      </c>
      <c r="D75" s="9">
        <v>8.6416666666666708E-3</v>
      </c>
      <c r="E75" s="9">
        <v>6.8541666666666699E-3</v>
      </c>
      <c r="F75" s="9">
        <v>6.3916666666666696E-3</v>
      </c>
      <c r="G75" s="9">
        <v>0.74550682961897896</v>
      </c>
      <c r="H75" s="9">
        <v>0.66303909713825104</v>
      </c>
      <c r="I75" s="9">
        <v>0.63058372156755305</v>
      </c>
      <c r="J75" s="35">
        <v>500</v>
      </c>
      <c r="K75" t="s">
        <v>184</v>
      </c>
    </row>
    <row r="76" spans="1:11" ht="15.75" customHeight="1" x14ac:dyDescent="0.2">
      <c r="A76">
        <v>45</v>
      </c>
      <c r="B76" s="24" t="s">
        <v>117</v>
      </c>
      <c r="C76" s="9">
        <v>5.3150000000000003E-3</v>
      </c>
      <c r="D76" s="9">
        <v>-5.4000000000000003E-3</v>
      </c>
      <c r="E76" s="9">
        <v>6.0625000000000002E-3</v>
      </c>
      <c r="F76" s="9">
        <v>6.3916666666666696E-3</v>
      </c>
      <c r="G76" s="9">
        <v>-0.46585190510424201</v>
      </c>
      <c r="H76" s="9">
        <v>0.58645707376057998</v>
      </c>
      <c r="I76" s="9">
        <v>0.63058372156755305</v>
      </c>
      <c r="J76" s="35">
        <v>5000</v>
      </c>
      <c r="K76" t="s">
        <v>184</v>
      </c>
    </row>
    <row r="77" spans="1:11" ht="15.75" customHeight="1" x14ac:dyDescent="0.2">
      <c r="A77">
        <v>32</v>
      </c>
      <c r="B77" s="24" t="s">
        <v>104</v>
      </c>
      <c r="C77" s="9">
        <v>5.8399999999999997E-3</v>
      </c>
      <c r="D77" s="9">
        <v>4.8416666666666703E-3</v>
      </c>
      <c r="E77" s="9">
        <v>5.7375000000000004E-3</v>
      </c>
      <c r="F77" s="9">
        <v>5.5972222222222196E-3</v>
      </c>
      <c r="G77" s="9">
        <v>0.41768511861969798</v>
      </c>
      <c r="H77" s="9">
        <v>0.55501813784764198</v>
      </c>
      <c r="I77" s="9">
        <v>0.55220608385859105</v>
      </c>
      <c r="J77" s="35">
        <v>10000</v>
      </c>
      <c r="K77" t="s">
        <v>184</v>
      </c>
    </row>
    <row r="78" spans="1:11" ht="15.75" customHeight="1" x14ac:dyDescent="0.2">
      <c r="A78">
        <v>52</v>
      </c>
      <c r="B78" s="25" t="s">
        <v>124</v>
      </c>
      <c r="C78" s="9">
        <v>2.3600000000000001E-3</v>
      </c>
      <c r="D78" s="9">
        <v>3.65E-3</v>
      </c>
      <c r="E78" s="9">
        <v>3.1708333333333302E-3</v>
      </c>
      <c r="F78" s="9">
        <v>3.8805555555555598E-3</v>
      </c>
      <c r="G78" s="9">
        <v>0.31488138030194102</v>
      </c>
      <c r="H78" s="9">
        <v>0.306731156791616</v>
      </c>
      <c r="I78" s="9">
        <v>0.38284461496300398</v>
      </c>
      <c r="J78" s="35">
        <v>10000</v>
      </c>
      <c r="K78" t="s">
        <v>184</v>
      </c>
    </row>
    <row r="79" spans="1:11" ht="15.75" customHeight="1" x14ac:dyDescent="0.2">
      <c r="A79">
        <v>39</v>
      </c>
      <c r="B79" s="24" t="s">
        <v>111</v>
      </c>
      <c r="C79" s="9">
        <v>3.0825000000000002E-3</v>
      </c>
      <c r="D79" s="9">
        <v>-3.1166666666666699E-3</v>
      </c>
      <c r="E79" s="9">
        <v>4.9458333333333299E-3</v>
      </c>
      <c r="F79" s="9">
        <v>3.6861111111111101E-3</v>
      </c>
      <c r="G79" s="9">
        <v>-0.26887131560028799</v>
      </c>
      <c r="H79" s="9">
        <v>0.47843611446997197</v>
      </c>
      <c r="I79" s="9">
        <v>0.36366127706220902</v>
      </c>
      <c r="J79" s="35">
        <v>5000</v>
      </c>
      <c r="K79" t="s">
        <v>184</v>
      </c>
    </row>
  </sheetData>
  <mergeCells count="1">
    <mergeCell ref="C1:G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8CB00-152D-3F49-BF29-331AB5C9B066}">
  <dimension ref="A1:D361"/>
  <sheetViews>
    <sheetView topLeftCell="A32" workbookViewId="0">
      <selection activeCell="B54" sqref="B54:C67"/>
    </sheetView>
  </sheetViews>
  <sheetFormatPr baseColWidth="10" defaultRowHeight="16" x14ac:dyDescent="0.2"/>
  <cols>
    <col min="1" max="1" width="45.33203125" bestFit="1" customWidth="1"/>
    <col min="2" max="2" width="34.1640625" bestFit="1" customWidth="1"/>
    <col min="3" max="3" width="21.1640625" bestFit="1" customWidth="1"/>
  </cols>
  <sheetData>
    <row r="1" spans="1:4" x14ac:dyDescent="0.2">
      <c r="A1" s="50" t="s">
        <v>201</v>
      </c>
      <c r="B1" s="50" t="s">
        <v>196</v>
      </c>
      <c r="C1" s="50" t="s">
        <v>202</v>
      </c>
      <c r="D1" s="50" t="s">
        <v>21</v>
      </c>
    </row>
    <row r="2" spans="1:4" x14ac:dyDescent="0.2">
      <c r="A2" t="s">
        <v>203</v>
      </c>
      <c r="B2" t="s">
        <v>24</v>
      </c>
      <c r="C2" s="48">
        <v>1</v>
      </c>
      <c r="D2">
        <v>1</v>
      </c>
    </row>
    <row r="3" spans="1:4" x14ac:dyDescent="0.2">
      <c r="A3" t="s">
        <v>204</v>
      </c>
      <c r="B3" t="s">
        <v>24</v>
      </c>
      <c r="C3" s="48">
        <v>0.9</v>
      </c>
      <c r="D3">
        <v>2</v>
      </c>
    </row>
    <row r="4" spans="1:4" x14ac:dyDescent="0.2">
      <c r="A4" t="s">
        <v>204</v>
      </c>
      <c r="B4" t="s">
        <v>25</v>
      </c>
      <c r="C4" s="48">
        <v>0.1</v>
      </c>
      <c r="D4">
        <v>2</v>
      </c>
    </row>
    <row r="5" spans="1:4" x14ac:dyDescent="0.2">
      <c r="A5" t="s">
        <v>205</v>
      </c>
      <c r="B5" t="s">
        <v>24</v>
      </c>
      <c r="C5" s="48">
        <v>0.8</v>
      </c>
      <c r="D5">
        <v>3</v>
      </c>
    </row>
    <row r="6" spans="1:4" x14ac:dyDescent="0.2">
      <c r="A6" t="s">
        <v>205</v>
      </c>
      <c r="B6" t="s">
        <v>25</v>
      </c>
      <c r="C6" s="48">
        <v>0.05</v>
      </c>
      <c r="D6">
        <v>3</v>
      </c>
    </row>
    <row r="7" spans="1:4" x14ac:dyDescent="0.2">
      <c r="A7" t="s">
        <v>205</v>
      </c>
      <c r="B7" t="s">
        <v>139</v>
      </c>
      <c r="C7" s="48">
        <v>0.05</v>
      </c>
      <c r="D7">
        <v>3</v>
      </c>
    </row>
    <row r="8" spans="1:4" x14ac:dyDescent="0.2">
      <c r="A8" t="s">
        <v>205</v>
      </c>
      <c r="B8" t="s">
        <v>27</v>
      </c>
      <c r="C8" s="48">
        <v>0.05</v>
      </c>
      <c r="D8">
        <v>3</v>
      </c>
    </row>
    <row r="9" spans="1:4" x14ac:dyDescent="0.2">
      <c r="A9" t="s">
        <v>205</v>
      </c>
      <c r="B9" t="s">
        <v>28</v>
      </c>
      <c r="C9" s="48">
        <v>0.05</v>
      </c>
      <c r="D9">
        <v>3</v>
      </c>
    </row>
    <row r="10" spans="1:4" x14ac:dyDescent="0.2">
      <c r="A10" t="s">
        <v>206</v>
      </c>
      <c r="B10" t="s">
        <v>24</v>
      </c>
      <c r="C10" s="48">
        <v>0.7</v>
      </c>
      <c r="D10">
        <v>4</v>
      </c>
    </row>
    <row r="11" spans="1:4" x14ac:dyDescent="0.2">
      <c r="A11" t="s">
        <v>206</v>
      </c>
      <c r="B11" t="s">
        <v>25</v>
      </c>
      <c r="C11" s="48">
        <v>0.1</v>
      </c>
      <c r="D11">
        <v>4</v>
      </c>
    </row>
    <row r="12" spans="1:4" x14ac:dyDescent="0.2">
      <c r="A12" t="s">
        <v>206</v>
      </c>
      <c r="B12" t="s">
        <v>138</v>
      </c>
      <c r="C12" s="48">
        <v>0.1</v>
      </c>
      <c r="D12">
        <v>4</v>
      </c>
    </row>
    <row r="13" spans="1:4" x14ac:dyDescent="0.2">
      <c r="A13" t="s">
        <v>206</v>
      </c>
      <c r="B13" t="s">
        <v>27</v>
      </c>
      <c r="C13" s="48">
        <v>0.1</v>
      </c>
      <c r="D13">
        <v>4</v>
      </c>
    </row>
    <row r="14" spans="1:4" x14ac:dyDescent="0.2">
      <c r="A14" t="s">
        <v>208</v>
      </c>
      <c r="B14" t="s">
        <v>24</v>
      </c>
      <c r="C14" s="48">
        <v>0.6</v>
      </c>
      <c r="D14">
        <v>5</v>
      </c>
    </row>
    <row r="15" spans="1:4" x14ac:dyDescent="0.2">
      <c r="A15" t="s">
        <v>208</v>
      </c>
      <c r="B15" t="s">
        <v>25</v>
      </c>
      <c r="C15" s="48">
        <v>0.04</v>
      </c>
      <c r="D15">
        <v>5</v>
      </c>
    </row>
    <row r="16" spans="1:4" x14ac:dyDescent="0.2">
      <c r="A16" t="s">
        <v>208</v>
      </c>
      <c r="B16" t="s">
        <v>138</v>
      </c>
      <c r="C16" s="48">
        <v>0.09</v>
      </c>
      <c r="D16">
        <v>5</v>
      </c>
    </row>
    <row r="17" spans="1:4" x14ac:dyDescent="0.2">
      <c r="A17" t="s">
        <v>208</v>
      </c>
      <c r="B17" t="s">
        <v>27</v>
      </c>
      <c r="C17" s="48">
        <v>0.03</v>
      </c>
      <c r="D17">
        <v>5</v>
      </c>
    </row>
    <row r="18" spans="1:4" x14ac:dyDescent="0.2">
      <c r="A18" t="s">
        <v>208</v>
      </c>
      <c r="B18" t="s">
        <v>143</v>
      </c>
      <c r="C18" s="48">
        <v>0.03</v>
      </c>
      <c r="D18">
        <v>5</v>
      </c>
    </row>
    <row r="19" spans="1:4" x14ac:dyDescent="0.2">
      <c r="A19" t="s">
        <v>208</v>
      </c>
      <c r="B19" t="s">
        <v>154</v>
      </c>
      <c r="C19" s="48">
        <v>0.03</v>
      </c>
      <c r="D19">
        <v>5</v>
      </c>
    </row>
    <row r="20" spans="1:4" x14ac:dyDescent="0.2">
      <c r="A20" t="s">
        <v>208</v>
      </c>
      <c r="B20" t="s">
        <v>159</v>
      </c>
      <c r="C20" s="48">
        <v>0.05</v>
      </c>
      <c r="D20">
        <v>5</v>
      </c>
    </row>
    <row r="21" spans="1:4" x14ac:dyDescent="0.2">
      <c r="A21" t="s">
        <v>208</v>
      </c>
      <c r="B21" t="s">
        <v>161</v>
      </c>
      <c r="C21" s="48">
        <v>0.03</v>
      </c>
      <c r="D21">
        <v>5</v>
      </c>
    </row>
    <row r="22" spans="1:4" x14ac:dyDescent="0.2">
      <c r="A22" t="s">
        <v>208</v>
      </c>
      <c r="B22" t="s">
        <v>198</v>
      </c>
      <c r="C22" s="48">
        <v>0.03</v>
      </c>
      <c r="D22">
        <v>5</v>
      </c>
    </row>
    <row r="23" spans="1:4" x14ac:dyDescent="0.2">
      <c r="A23" t="s">
        <v>208</v>
      </c>
      <c r="B23" t="s">
        <v>209</v>
      </c>
      <c r="C23" s="48">
        <v>0.04</v>
      </c>
      <c r="D23">
        <v>5</v>
      </c>
    </row>
    <row r="24" spans="1:4" x14ac:dyDescent="0.2">
      <c r="A24" t="s">
        <v>208</v>
      </c>
      <c r="B24" t="s">
        <v>194</v>
      </c>
      <c r="C24" s="48">
        <v>0.03</v>
      </c>
      <c r="D24">
        <v>5</v>
      </c>
    </row>
    <row r="25" spans="1:4" x14ac:dyDescent="0.2">
      <c r="A25" t="s">
        <v>207</v>
      </c>
      <c r="B25" t="s">
        <v>24</v>
      </c>
      <c r="C25" s="48">
        <v>0.5</v>
      </c>
      <c r="D25">
        <v>6</v>
      </c>
    </row>
    <row r="26" spans="1:4" x14ac:dyDescent="0.2">
      <c r="A26" t="s">
        <v>207</v>
      </c>
      <c r="B26" t="s">
        <v>25</v>
      </c>
      <c r="C26" s="48">
        <v>0.05</v>
      </c>
      <c r="D26">
        <v>6</v>
      </c>
    </row>
    <row r="27" spans="1:4" x14ac:dyDescent="0.2">
      <c r="A27" t="s">
        <v>207</v>
      </c>
      <c r="B27" t="s">
        <v>27</v>
      </c>
      <c r="C27" s="48">
        <v>0.06</v>
      </c>
      <c r="D27">
        <v>6</v>
      </c>
    </row>
    <row r="28" spans="1:4" x14ac:dyDescent="0.2">
      <c r="A28" t="s">
        <v>207</v>
      </c>
      <c r="B28" t="s">
        <v>59</v>
      </c>
      <c r="C28" s="48">
        <v>0.1</v>
      </c>
      <c r="D28">
        <v>6</v>
      </c>
    </row>
    <row r="29" spans="1:4" x14ac:dyDescent="0.2">
      <c r="A29" t="s">
        <v>207</v>
      </c>
      <c r="B29" t="s">
        <v>161</v>
      </c>
      <c r="C29" s="48">
        <v>0.1</v>
      </c>
      <c r="D29">
        <v>6</v>
      </c>
    </row>
    <row r="30" spans="1:4" x14ac:dyDescent="0.2">
      <c r="A30" t="s">
        <v>207</v>
      </c>
      <c r="B30" t="s">
        <v>32</v>
      </c>
      <c r="C30" s="48">
        <v>0.1</v>
      </c>
      <c r="D30">
        <v>6</v>
      </c>
    </row>
    <row r="31" spans="1:4" x14ac:dyDescent="0.2">
      <c r="A31" t="s">
        <v>207</v>
      </c>
      <c r="B31" t="s">
        <v>198</v>
      </c>
      <c r="C31" s="48">
        <v>0.1</v>
      </c>
      <c r="D31">
        <v>6</v>
      </c>
    </row>
    <row r="32" spans="1:4" x14ac:dyDescent="0.2">
      <c r="A32" t="s">
        <v>210</v>
      </c>
      <c r="B32" t="s">
        <v>24</v>
      </c>
      <c r="C32" s="48">
        <v>0.4</v>
      </c>
      <c r="D32">
        <v>7</v>
      </c>
    </row>
    <row r="33" spans="1:4" x14ac:dyDescent="0.2">
      <c r="A33" t="s">
        <v>210</v>
      </c>
      <c r="B33" t="s">
        <v>25</v>
      </c>
      <c r="C33" s="48">
        <v>7.0000000000000007E-2</v>
      </c>
      <c r="D33">
        <v>7</v>
      </c>
    </row>
    <row r="34" spans="1:4" x14ac:dyDescent="0.2">
      <c r="A34" t="s">
        <v>210</v>
      </c>
      <c r="B34" t="s">
        <v>138</v>
      </c>
      <c r="C34" s="48">
        <v>0.08</v>
      </c>
      <c r="D34">
        <v>7</v>
      </c>
    </row>
    <row r="35" spans="1:4" x14ac:dyDescent="0.2">
      <c r="A35" t="s">
        <v>210</v>
      </c>
      <c r="B35" t="s">
        <v>27</v>
      </c>
      <c r="C35" s="48">
        <v>0.03</v>
      </c>
      <c r="D35">
        <v>7</v>
      </c>
    </row>
    <row r="36" spans="1:4" x14ac:dyDescent="0.2">
      <c r="A36" t="s">
        <v>210</v>
      </c>
      <c r="B36" t="s">
        <v>152</v>
      </c>
      <c r="C36" s="48">
        <v>0.03</v>
      </c>
      <c r="D36">
        <v>7</v>
      </c>
    </row>
    <row r="37" spans="1:4" x14ac:dyDescent="0.2">
      <c r="A37" t="s">
        <v>210</v>
      </c>
      <c r="B37" t="s">
        <v>154</v>
      </c>
      <c r="C37" s="48">
        <v>0.03</v>
      </c>
      <c r="D37">
        <v>7</v>
      </c>
    </row>
    <row r="38" spans="1:4" x14ac:dyDescent="0.2">
      <c r="A38" t="s">
        <v>210</v>
      </c>
      <c r="B38" t="s">
        <v>159</v>
      </c>
      <c r="C38" s="48">
        <v>0.1</v>
      </c>
      <c r="D38">
        <v>7</v>
      </c>
    </row>
    <row r="39" spans="1:4" x14ac:dyDescent="0.2">
      <c r="A39" t="s">
        <v>210</v>
      </c>
      <c r="B39" t="s">
        <v>161</v>
      </c>
      <c r="C39" s="48">
        <v>0.04</v>
      </c>
      <c r="D39">
        <v>7</v>
      </c>
    </row>
    <row r="40" spans="1:4" x14ac:dyDescent="0.2">
      <c r="A40" t="s">
        <v>210</v>
      </c>
      <c r="B40" t="s">
        <v>32</v>
      </c>
      <c r="C40" s="48">
        <v>0.05</v>
      </c>
      <c r="D40">
        <v>7</v>
      </c>
    </row>
    <row r="41" spans="1:4" x14ac:dyDescent="0.2">
      <c r="A41" t="s">
        <v>210</v>
      </c>
      <c r="B41" t="s">
        <v>198</v>
      </c>
      <c r="C41" s="48">
        <v>0.05</v>
      </c>
      <c r="D41">
        <v>7</v>
      </c>
    </row>
    <row r="42" spans="1:4" x14ac:dyDescent="0.2">
      <c r="A42" t="s">
        <v>210</v>
      </c>
      <c r="B42" t="s">
        <v>197</v>
      </c>
      <c r="C42" s="48">
        <v>0.04</v>
      </c>
      <c r="D42">
        <v>7</v>
      </c>
    </row>
    <row r="43" spans="1:4" x14ac:dyDescent="0.2">
      <c r="A43" t="s">
        <v>210</v>
      </c>
      <c r="B43" t="s">
        <v>209</v>
      </c>
      <c r="C43" s="48">
        <v>0.05</v>
      </c>
      <c r="D43">
        <v>7</v>
      </c>
    </row>
    <row r="44" spans="1:4" x14ac:dyDescent="0.2">
      <c r="A44" t="s">
        <v>210</v>
      </c>
      <c r="B44" t="s">
        <v>194</v>
      </c>
      <c r="C44" s="48">
        <v>0.03</v>
      </c>
      <c r="D44">
        <v>7</v>
      </c>
    </row>
    <row r="45" spans="1:4" x14ac:dyDescent="0.2">
      <c r="A45" t="s">
        <v>211</v>
      </c>
      <c r="B45" t="s">
        <v>24</v>
      </c>
      <c r="C45" s="48">
        <v>0.3</v>
      </c>
      <c r="D45">
        <v>8</v>
      </c>
    </row>
    <row r="46" spans="1:4" x14ac:dyDescent="0.2">
      <c r="A46" t="s">
        <v>211</v>
      </c>
      <c r="B46" t="s">
        <v>25</v>
      </c>
      <c r="C46" s="48">
        <v>0.04</v>
      </c>
      <c r="D46">
        <v>8</v>
      </c>
    </row>
    <row r="47" spans="1:4" x14ac:dyDescent="0.2">
      <c r="A47" t="s">
        <v>211</v>
      </c>
      <c r="B47" t="s">
        <v>138</v>
      </c>
      <c r="C47" s="48">
        <v>0.1</v>
      </c>
      <c r="D47">
        <v>8</v>
      </c>
    </row>
    <row r="48" spans="1:4" x14ac:dyDescent="0.2">
      <c r="A48" t="s">
        <v>211</v>
      </c>
      <c r="B48" t="s">
        <v>159</v>
      </c>
      <c r="C48" s="48">
        <v>0.1</v>
      </c>
      <c r="D48">
        <v>8</v>
      </c>
    </row>
    <row r="49" spans="1:4" x14ac:dyDescent="0.2">
      <c r="A49" t="s">
        <v>211</v>
      </c>
      <c r="B49" t="s">
        <v>32</v>
      </c>
      <c r="C49" s="48">
        <v>0.1</v>
      </c>
      <c r="D49">
        <v>8</v>
      </c>
    </row>
    <row r="50" spans="1:4" x14ac:dyDescent="0.2">
      <c r="A50" t="s">
        <v>211</v>
      </c>
      <c r="B50" t="s">
        <v>198</v>
      </c>
      <c r="C50" s="48">
        <v>0.1</v>
      </c>
      <c r="D50">
        <v>8</v>
      </c>
    </row>
    <row r="51" spans="1:4" x14ac:dyDescent="0.2">
      <c r="A51" t="s">
        <v>211</v>
      </c>
      <c r="B51" t="s">
        <v>197</v>
      </c>
      <c r="C51" s="48">
        <v>0.06</v>
      </c>
      <c r="D51">
        <v>8</v>
      </c>
    </row>
    <row r="52" spans="1:4" x14ac:dyDescent="0.2">
      <c r="A52" t="s">
        <v>211</v>
      </c>
      <c r="B52" t="s">
        <v>209</v>
      </c>
      <c r="C52" s="48">
        <v>0.1</v>
      </c>
      <c r="D52">
        <v>8</v>
      </c>
    </row>
    <row r="53" spans="1:4" x14ac:dyDescent="0.2">
      <c r="A53" t="s">
        <v>211</v>
      </c>
      <c r="B53" t="s">
        <v>194</v>
      </c>
      <c r="C53" s="48">
        <v>0.1</v>
      </c>
      <c r="D53">
        <v>8</v>
      </c>
    </row>
    <row r="54" spans="1:4" x14ac:dyDescent="0.2">
      <c r="A54" t="s">
        <v>212</v>
      </c>
      <c r="B54" t="s">
        <v>24</v>
      </c>
      <c r="C54" s="48">
        <v>0.2</v>
      </c>
      <c r="D54">
        <v>9</v>
      </c>
    </row>
    <row r="55" spans="1:4" x14ac:dyDescent="0.2">
      <c r="A55" t="s">
        <v>212</v>
      </c>
      <c r="B55" t="s">
        <v>25</v>
      </c>
      <c r="C55" s="48">
        <v>0.04</v>
      </c>
      <c r="D55">
        <v>9</v>
      </c>
    </row>
    <row r="56" spans="1:4" x14ac:dyDescent="0.2">
      <c r="A56" t="s">
        <v>212</v>
      </c>
      <c r="B56" t="s">
        <v>138</v>
      </c>
      <c r="C56" s="48">
        <v>0.04</v>
      </c>
      <c r="D56">
        <v>9</v>
      </c>
    </row>
    <row r="57" spans="1:4" x14ac:dyDescent="0.2">
      <c r="A57" t="s">
        <v>212</v>
      </c>
      <c r="B57" t="s">
        <v>27</v>
      </c>
      <c r="C57" s="48">
        <v>0.04</v>
      </c>
      <c r="D57">
        <v>9</v>
      </c>
    </row>
    <row r="58" spans="1:4" x14ac:dyDescent="0.2">
      <c r="A58" t="s">
        <v>212</v>
      </c>
      <c r="B58" t="s">
        <v>152</v>
      </c>
      <c r="C58" s="48">
        <v>0.03</v>
      </c>
      <c r="D58">
        <v>9</v>
      </c>
    </row>
    <row r="59" spans="1:4" x14ac:dyDescent="0.2">
      <c r="A59" t="s">
        <v>212</v>
      </c>
      <c r="B59" t="s">
        <v>154</v>
      </c>
      <c r="C59" s="48">
        <v>0.03</v>
      </c>
      <c r="D59">
        <v>9</v>
      </c>
    </row>
    <row r="60" spans="1:4" x14ac:dyDescent="0.2">
      <c r="A60" t="s">
        <v>212</v>
      </c>
      <c r="B60" t="s">
        <v>159</v>
      </c>
      <c r="C60" s="48">
        <v>0.09</v>
      </c>
      <c r="D60">
        <v>9</v>
      </c>
    </row>
    <row r="61" spans="1:4" x14ac:dyDescent="0.2">
      <c r="A61" t="s">
        <v>212</v>
      </c>
      <c r="B61" t="s">
        <v>161</v>
      </c>
      <c r="C61" s="48">
        <v>0.03</v>
      </c>
      <c r="D61">
        <v>9</v>
      </c>
    </row>
    <row r="62" spans="1:4" x14ac:dyDescent="0.2">
      <c r="A62" t="s">
        <v>212</v>
      </c>
      <c r="B62" t="s">
        <v>30</v>
      </c>
      <c r="C62" s="48">
        <v>0.03</v>
      </c>
      <c r="D62">
        <v>9</v>
      </c>
    </row>
    <row r="63" spans="1:4" x14ac:dyDescent="0.2">
      <c r="A63" t="s">
        <v>212</v>
      </c>
      <c r="B63" t="s">
        <v>32</v>
      </c>
      <c r="C63" s="48">
        <v>0.1</v>
      </c>
      <c r="D63">
        <v>9</v>
      </c>
    </row>
    <row r="64" spans="1:4" x14ac:dyDescent="0.2">
      <c r="A64" t="s">
        <v>212</v>
      </c>
      <c r="B64" t="s">
        <v>198</v>
      </c>
      <c r="C64" s="48">
        <v>0.1</v>
      </c>
      <c r="D64">
        <v>9</v>
      </c>
    </row>
    <row r="65" spans="1:4" x14ac:dyDescent="0.2">
      <c r="A65" t="s">
        <v>212</v>
      </c>
      <c r="B65" t="s">
        <v>197</v>
      </c>
      <c r="C65" s="48">
        <v>0.08</v>
      </c>
      <c r="D65">
        <v>9</v>
      </c>
    </row>
    <row r="66" spans="1:4" x14ac:dyDescent="0.2">
      <c r="A66" t="s">
        <v>212</v>
      </c>
      <c r="B66" t="s">
        <v>209</v>
      </c>
      <c r="C66" s="48">
        <v>0.1</v>
      </c>
      <c r="D66">
        <v>9</v>
      </c>
    </row>
    <row r="67" spans="1:4" x14ac:dyDescent="0.2">
      <c r="A67" t="s">
        <v>212</v>
      </c>
      <c r="B67" t="s">
        <v>194</v>
      </c>
      <c r="C67" s="48">
        <v>0.09</v>
      </c>
      <c r="D67">
        <v>9</v>
      </c>
    </row>
    <row r="68" spans="1:4" x14ac:dyDescent="0.2">
      <c r="C68" s="48"/>
    </row>
    <row r="69" spans="1:4" x14ac:dyDescent="0.2">
      <c r="C69" s="48"/>
    </row>
    <row r="70" spans="1:4" x14ac:dyDescent="0.2">
      <c r="C70" s="48"/>
    </row>
    <row r="71" spans="1:4" x14ac:dyDescent="0.2">
      <c r="C71" s="48"/>
    </row>
    <row r="72" spans="1:4" x14ac:dyDescent="0.2">
      <c r="C72" s="48"/>
    </row>
    <row r="73" spans="1:4" x14ac:dyDescent="0.2">
      <c r="C73" s="48"/>
    </row>
    <row r="74" spans="1:4" x14ac:dyDescent="0.2">
      <c r="C74" s="48"/>
    </row>
    <row r="75" spans="1:4" x14ac:dyDescent="0.2">
      <c r="C75" s="48"/>
    </row>
    <row r="76" spans="1:4" x14ac:dyDescent="0.2">
      <c r="C76" s="48"/>
    </row>
    <row r="77" spans="1:4" x14ac:dyDescent="0.2">
      <c r="C77" s="48"/>
    </row>
    <row r="78" spans="1:4" x14ac:dyDescent="0.2">
      <c r="C78" s="48"/>
    </row>
    <row r="79" spans="1:4" x14ac:dyDescent="0.2">
      <c r="C79" s="48"/>
    </row>
    <row r="80" spans="1:4" x14ac:dyDescent="0.2">
      <c r="C80" s="48"/>
    </row>
    <row r="81" spans="3:3" x14ac:dyDescent="0.2">
      <c r="C81" s="48"/>
    </row>
    <row r="82" spans="3:3" x14ac:dyDescent="0.2">
      <c r="C82" s="48"/>
    </row>
    <row r="83" spans="3:3" x14ac:dyDescent="0.2">
      <c r="C83" s="48"/>
    </row>
    <row r="84" spans="3:3" x14ac:dyDescent="0.2">
      <c r="C84" s="48"/>
    </row>
    <row r="85" spans="3:3" x14ac:dyDescent="0.2">
      <c r="C85" s="48"/>
    </row>
    <row r="86" spans="3:3" x14ac:dyDescent="0.2">
      <c r="C86" s="48"/>
    </row>
    <row r="87" spans="3:3" x14ac:dyDescent="0.2">
      <c r="C87" s="48"/>
    </row>
    <row r="88" spans="3:3" x14ac:dyDescent="0.2">
      <c r="C88" s="48"/>
    </row>
    <row r="89" spans="3:3" x14ac:dyDescent="0.2">
      <c r="C89" s="48"/>
    </row>
    <row r="90" spans="3:3" x14ac:dyDescent="0.2">
      <c r="C90" s="48"/>
    </row>
    <row r="91" spans="3:3" x14ac:dyDescent="0.2">
      <c r="C91" s="48"/>
    </row>
    <row r="92" spans="3:3" x14ac:dyDescent="0.2">
      <c r="C92" s="48"/>
    </row>
    <row r="93" spans="3:3" x14ac:dyDescent="0.2">
      <c r="C93" s="48"/>
    </row>
    <row r="94" spans="3:3" x14ac:dyDescent="0.2">
      <c r="C94" s="48"/>
    </row>
    <row r="95" spans="3:3" x14ac:dyDescent="0.2">
      <c r="C95" s="48"/>
    </row>
    <row r="96" spans="3:3" x14ac:dyDescent="0.2">
      <c r="C96" s="48"/>
    </row>
    <row r="97" spans="3:3" x14ac:dyDescent="0.2">
      <c r="C97" s="48"/>
    </row>
    <row r="98" spans="3:3" x14ac:dyDescent="0.2">
      <c r="C98" s="48"/>
    </row>
    <row r="99" spans="3:3" x14ac:dyDescent="0.2">
      <c r="C99" s="48"/>
    </row>
    <row r="100" spans="3:3" x14ac:dyDescent="0.2">
      <c r="C100" s="48"/>
    </row>
    <row r="101" spans="3:3" x14ac:dyDescent="0.2">
      <c r="C101" s="48"/>
    </row>
    <row r="102" spans="3:3" x14ac:dyDescent="0.2">
      <c r="C102" s="48"/>
    </row>
    <row r="103" spans="3:3" x14ac:dyDescent="0.2">
      <c r="C103" s="48"/>
    </row>
    <row r="104" spans="3:3" x14ac:dyDescent="0.2">
      <c r="C104" s="48"/>
    </row>
    <row r="105" spans="3:3" x14ac:dyDescent="0.2">
      <c r="C105" s="48"/>
    </row>
    <row r="106" spans="3:3" x14ac:dyDescent="0.2">
      <c r="C106" s="48"/>
    </row>
    <row r="107" spans="3:3" x14ac:dyDescent="0.2">
      <c r="C107" s="48"/>
    </row>
    <row r="108" spans="3:3" x14ac:dyDescent="0.2">
      <c r="C108" s="48"/>
    </row>
    <row r="109" spans="3:3" x14ac:dyDescent="0.2">
      <c r="C109" s="48"/>
    </row>
    <row r="110" spans="3:3" x14ac:dyDescent="0.2">
      <c r="C110" s="48"/>
    </row>
    <row r="111" spans="3:3" x14ac:dyDescent="0.2">
      <c r="C111" s="48"/>
    </row>
    <row r="112" spans="3:3" x14ac:dyDescent="0.2">
      <c r="C112" s="48"/>
    </row>
    <row r="113" spans="3:3" x14ac:dyDescent="0.2">
      <c r="C113" s="48"/>
    </row>
    <row r="114" spans="3:3" x14ac:dyDescent="0.2">
      <c r="C114" s="48"/>
    </row>
    <row r="115" spans="3:3" x14ac:dyDescent="0.2">
      <c r="C115" s="48"/>
    </row>
    <row r="116" spans="3:3" x14ac:dyDescent="0.2">
      <c r="C116" s="48"/>
    </row>
    <row r="117" spans="3:3" x14ac:dyDescent="0.2">
      <c r="C117" s="48"/>
    </row>
    <row r="118" spans="3:3" x14ac:dyDescent="0.2">
      <c r="C118" s="48"/>
    </row>
    <row r="119" spans="3:3" x14ac:dyDescent="0.2">
      <c r="C119" s="48"/>
    </row>
    <row r="120" spans="3:3" x14ac:dyDescent="0.2">
      <c r="C120" s="48"/>
    </row>
    <row r="121" spans="3:3" x14ac:dyDescent="0.2">
      <c r="C121" s="48"/>
    </row>
    <row r="122" spans="3:3" x14ac:dyDescent="0.2">
      <c r="C122" s="48"/>
    </row>
    <row r="123" spans="3:3" x14ac:dyDescent="0.2">
      <c r="C123" s="48"/>
    </row>
    <row r="124" spans="3:3" x14ac:dyDescent="0.2">
      <c r="C124" s="48"/>
    </row>
    <row r="125" spans="3:3" x14ac:dyDescent="0.2">
      <c r="C125" s="48"/>
    </row>
    <row r="126" spans="3:3" x14ac:dyDescent="0.2">
      <c r="C126" s="48"/>
    </row>
    <row r="127" spans="3:3" x14ac:dyDescent="0.2">
      <c r="C127" s="48"/>
    </row>
    <row r="128" spans="3:3" x14ac:dyDescent="0.2">
      <c r="C128" s="48"/>
    </row>
    <row r="129" spans="3:3" x14ac:dyDescent="0.2">
      <c r="C129" s="48"/>
    </row>
    <row r="130" spans="3:3" x14ac:dyDescent="0.2">
      <c r="C130" s="48"/>
    </row>
    <row r="131" spans="3:3" x14ac:dyDescent="0.2">
      <c r="C131" s="48"/>
    </row>
    <row r="132" spans="3:3" x14ac:dyDescent="0.2">
      <c r="C132" s="48"/>
    </row>
    <row r="133" spans="3:3" x14ac:dyDescent="0.2">
      <c r="C133" s="48"/>
    </row>
    <row r="134" spans="3:3" x14ac:dyDescent="0.2">
      <c r="C134" s="48"/>
    </row>
    <row r="135" spans="3:3" x14ac:dyDescent="0.2">
      <c r="C135" s="48"/>
    </row>
    <row r="136" spans="3:3" x14ac:dyDescent="0.2">
      <c r="C136" s="48"/>
    </row>
    <row r="137" spans="3:3" x14ac:dyDescent="0.2">
      <c r="C137" s="48"/>
    </row>
    <row r="138" spans="3:3" x14ac:dyDescent="0.2">
      <c r="C138" s="48"/>
    </row>
    <row r="139" spans="3:3" x14ac:dyDescent="0.2">
      <c r="C139" s="48"/>
    </row>
    <row r="140" spans="3:3" x14ac:dyDescent="0.2">
      <c r="C140" s="48"/>
    </row>
    <row r="141" spans="3:3" x14ac:dyDescent="0.2">
      <c r="C141" s="48"/>
    </row>
    <row r="142" spans="3:3" x14ac:dyDescent="0.2">
      <c r="C142" s="48"/>
    </row>
    <row r="143" spans="3:3" x14ac:dyDescent="0.2">
      <c r="C143" s="48"/>
    </row>
    <row r="144" spans="3:3" x14ac:dyDescent="0.2">
      <c r="C144" s="48"/>
    </row>
    <row r="145" spans="3:3" x14ac:dyDescent="0.2">
      <c r="C145" s="48"/>
    </row>
    <row r="146" spans="3:3" x14ac:dyDescent="0.2">
      <c r="C146" s="48"/>
    </row>
    <row r="147" spans="3:3" x14ac:dyDescent="0.2">
      <c r="C147" s="48"/>
    </row>
    <row r="148" spans="3:3" x14ac:dyDescent="0.2">
      <c r="C148" s="48"/>
    </row>
    <row r="149" spans="3:3" x14ac:dyDescent="0.2">
      <c r="C149" s="48"/>
    </row>
    <row r="150" spans="3:3" x14ac:dyDescent="0.2">
      <c r="C150" s="48"/>
    </row>
    <row r="151" spans="3:3" x14ac:dyDescent="0.2">
      <c r="C151" s="48"/>
    </row>
    <row r="152" spans="3:3" x14ac:dyDescent="0.2">
      <c r="C152" s="48"/>
    </row>
    <row r="153" spans="3:3" x14ac:dyDescent="0.2">
      <c r="C153" s="48"/>
    </row>
    <row r="154" spans="3:3" x14ac:dyDescent="0.2">
      <c r="C154" s="48"/>
    </row>
    <row r="155" spans="3:3" x14ac:dyDescent="0.2">
      <c r="C155" s="48"/>
    </row>
    <row r="156" spans="3:3" x14ac:dyDescent="0.2">
      <c r="C156" s="48"/>
    </row>
    <row r="157" spans="3:3" x14ac:dyDescent="0.2">
      <c r="C157" s="48"/>
    </row>
    <row r="158" spans="3:3" x14ac:dyDescent="0.2">
      <c r="C158" s="48"/>
    </row>
    <row r="159" spans="3:3" x14ac:dyDescent="0.2">
      <c r="C159" s="48"/>
    </row>
    <row r="160" spans="3:3" x14ac:dyDescent="0.2">
      <c r="C160" s="48"/>
    </row>
    <row r="161" spans="3:3" x14ac:dyDescent="0.2">
      <c r="C161" s="48"/>
    </row>
    <row r="162" spans="3:3" x14ac:dyDescent="0.2">
      <c r="C162" s="48"/>
    </row>
    <row r="163" spans="3:3" x14ac:dyDescent="0.2">
      <c r="C163" s="48"/>
    </row>
    <row r="164" spans="3:3" x14ac:dyDescent="0.2">
      <c r="C164" s="48"/>
    </row>
    <row r="165" spans="3:3" x14ac:dyDescent="0.2">
      <c r="C165" s="48"/>
    </row>
    <row r="166" spans="3:3" x14ac:dyDescent="0.2">
      <c r="C166" s="48"/>
    </row>
    <row r="167" spans="3:3" x14ac:dyDescent="0.2">
      <c r="C167" s="48"/>
    </row>
    <row r="168" spans="3:3" x14ac:dyDescent="0.2">
      <c r="C168" s="48"/>
    </row>
    <row r="169" spans="3:3" x14ac:dyDescent="0.2">
      <c r="C169" s="48"/>
    </row>
    <row r="170" spans="3:3" x14ac:dyDescent="0.2">
      <c r="C170" s="48"/>
    </row>
    <row r="171" spans="3:3" x14ac:dyDescent="0.2">
      <c r="C171" s="48"/>
    </row>
    <row r="172" spans="3:3" x14ac:dyDescent="0.2">
      <c r="C172" s="48"/>
    </row>
    <row r="173" spans="3:3" x14ac:dyDescent="0.2">
      <c r="C173" s="48"/>
    </row>
    <row r="174" spans="3:3" x14ac:dyDescent="0.2">
      <c r="C174" s="48"/>
    </row>
    <row r="175" spans="3:3" x14ac:dyDescent="0.2">
      <c r="C175" s="48"/>
    </row>
    <row r="176" spans="3:3" x14ac:dyDescent="0.2">
      <c r="C176" s="48"/>
    </row>
    <row r="177" spans="3:3" x14ac:dyDescent="0.2">
      <c r="C177" s="48"/>
    </row>
    <row r="178" spans="3:3" x14ac:dyDescent="0.2">
      <c r="C178" s="48"/>
    </row>
    <row r="179" spans="3:3" x14ac:dyDescent="0.2">
      <c r="C179" s="48"/>
    </row>
    <row r="180" spans="3:3" x14ac:dyDescent="0.2">
      <c r="C180" s="48"/>
    </row>
    <row r="181" spans="3:3" x14ac:dyDescent="0.2">
      <c r="C181" s="48"/>
    </row>
    <row r="182" spans="3:3" x14ac:dyDescent="0.2">
      <c r="C182" s="48"/>
    </row>
    <row r="183" spans="3:3" x14ac:dyDescent="0.2">
      <c r="C183" s="48"/>
    </row>
    <row r="184" spans="3:3" x14ac:dyDescent="0.2">
      <c r="C184" s="48"/>
    </row>
    <row r="185" spans="3:3" x14ac:dyDescent="0.2">
      <c r="C185" s="48"/>
    </row>
    <row r="186" spans="3:3" x14ac:dyDescent="0.2">
      <c r="C186" s="48"/>
    </row>
    <row r="187" spans="3:3" x14ac:dyDescent="0.2">
      <c r="C187" s="48"/>
    </row>
    <row r="188" spans="3:3" x14ac:dyDescent="0.2">
      <c r="C188" s="48"/>
    </row>
    <row r="189" spans="3:3" x14ac:dyDescent="0.2">
      <c r="C189" s="48"/>
    </row>
    <row r="190" spans="3:3" x14ac:dyDescent="0.2">
      <c r="C190" s="48"/>
    </row>
    <row r="191" spans="3:3" x14ac:dyDescent="0.2">
      <c r="C191" s="48"/>
    </row>
    <row r="192" spans="3:3" x14ac:dyDescent="0.2">
      <c r="C192" s="48"/>
    </row>
    <row r="193" spans="3:3" x14ac:dyDescent="0.2">
      <c r="C193" s="48"/>
    </row>
    <row r="194" spans="3:3" x14ac:dyDescent="0.2">
      <c r="C194" s="48"/>
    </row>
    <row r="195" spans="3:3" x14ac:dyDescent="0.2">
      <c r="C195" s="48"/>
    </row>
    <row r="196" spans="3:3" x14ac:dyDescent="0.2">
      <c r="C196" s="48"/>
    </row>
    <row r="197" spans="3:3" x14ac:dyDescent="0.2">
      <c r="C197" s="48"/>
    </row>
    <row r="198" spans="3:3" x14ac:dyDescent="0.2">
      <c r="C198" s="48"/>
    </row>
    <row r="199" spans="3:3" x14ac:dyDescent="0.2">
      <c r="C199" s="48"/>
    </row>
    <row r="200" spans="3:3" x14ac:dyDescent="0.2">
      <c r="C200" s="48"/>
    </row>
    <row r="201" spans="3:3" x14ac:dyDescent="0.2">
      <c r="C201" s="48"/>
    </row>
    <row r="202" spans="3:3" x14ac:dyDescent="0.2">
      <c r="C202" s="48"/>
    </row>
    <row r="203" spans="3:3" x14ac:dyDescent="0.2">
      <c r="C203" s="48"/>
    </row>
    <row r="204" spans="3:3" x14ac:dyDescent="0.2">
      <c r="C204" s="48"/>
    </row>
    <row r="205" spans="3:3" x14ac:dyDescent="0.2">
      <c r="C205" s="48"/>
    </row>
    <row r="206" spans="3:3" x14ac:dyDescent="0.2">
      <c r="C206" s="48"/>
    </row>
    <row r="207" spans="3:3" x14ac:dyDescent="0.2">
      <c r="C207" s="48"/>
    </row>
    <row r="208" spans="3:3" x14ac:dyDescent="0.2">
      <c r="C208" s="48"/>
    </row>
    <row r="209" spans="3:3" x14ac:dyDescent="0.2">
      <c r="C209" s="48"/>
    </row>
    <row r="210" spans="3:3" x14ac:dyDescent="0.2">
      <c r="C210" s="48"/>
    </row>
    <row r="211" spans="3:3" x14ac:dyDescent="0.2">
      <c r="C211" s="48"/>
    </row>
    <row r="212" spans="3:3" x14ac:dyDescent="0.2">
      <c r="C212" s="48"/>
    </row>
    <row r="213" spans="3:3" x14ac:dyDescent="0.2">
      <c r="C213" s="48"/>
    </row>
    <row r="214" spans="3:3" x14ac:dyDescent="0.2">
      <c r="C214" s="48"/>
    </row>
    <row r="215" spans="3:3" x14ac:dyDescent="0.2">
      <c r="C215" s="48"/>
    </row>
    <row r="216" spans="3:3" x14ac:dyDescent="0.2">
      <c r="C216" s="48"/>
    </row>
    <row r="217" spans="3:3" x14ac:dyDescent="0.2">
      <c r="C217" s="48"/>
    </row>
    <row r="218" spans="3:3" x14ac:dyDescent="0.2">
      <c r="C218" s="48"/>
    </row>
    <row r="219" spans="3:3" x14ac:dyDescent="0.2">
      <c r="C219" s="48"/>
    </row>
    <row r="220" spans="3:3" x14ac:dyDescent="0.2">
      <c r="C220" s="48"/>
    </row>
    <row r="221" spans="3:3" x14ac:dyDescent="0.2">
      <c r="C221" s="48"/>
    </row>
    <row r="222" spans="3:3" x14ac:dyDescent="0.2">
      <c r="C222" s="48"/>
    </row>
    <row r="223" spans="3:3" x14ac:dyDescent="0.2">
      <c r="C223" s="48"/>
    </row>
    <row r="224" spans="3:3" x14ac:dyDescent="0.2">
      <c r="C224" s="48"/>
    </row>
    <row r="225" spans="3:3" x14ac:dyDescent="0.2">
      <c r="C225" s="48"/>
    </row>
    <row r="226" spans="3:3" x14ac:dyDescent="0.2">
      <c r="C226" s="48"/>
    </row>
    <row r="227" spans="3:3" x14ac:dyDescent="0.2">
      <c r="C227" s="48"/>
    </row>
    <row r="228" spans="3:3" x14ac:dyDescent="0.2">
      <c r="C228" s="48"/>
    </row>
    <row r="229" spans="3:3" x14ac:dyDescent="0.2">
      <c r="C229" s="48"/>
    </row>
    <row r="230" spans="3:3" x14ac:dyDescent="0.2">
      <c r="C230" s="48"/>
    </row>
    <row r="231" spans="3:3" x14ac:dyDescent="0.2">
      <c r="C231" s="48"/>
    </row>
    <row r="232" spans="3:3" x14ac:dyDescent="0.2">
      <c r="C232" s="48"/>
    </row>
    <row r="233" spans="3:3" x14ac:dyDescent="0.2">
      <c r="C233" s="48"/>
    </row>
    <row r="234" spans="3:3" x14ac:dyDescent="0.2">
      <c r="C234" s="48"/>
    </row>
    <row r="235" spans="3:3" x14ac:dyDescent="0.2">
      <c r="C235" s="48"/>
    </row>
    <row r="236" spans="3:3" x14ac:dyDescent="0.2">
      <c r="C236" s="48"/>
    </row>
    <row r="237" spans="3:3" x14ac:dyDescent="0.2">
      <c r="C237" s="48"/>
    </row>
    <row r="238" spans="3:3" x14ac:dyDescent="0.2">
      <c r="C238" s="48"/>
    </row>
    <row r="239" spans="3:3" x14ac:dyDescent="0.2">
      <c r="C239" s="48"/>
    </row>
    <row r="240" spans="3:3" x14ac:dyDescent="0.2">
      <c r="C240" s="48"/>
    </row>
    <row r="241" spans="3:3" x14ac:dyDescent="0.2">
      <c r="C241" s="48"/>
    </row>
    <row r="242" spans="3:3" x14ac:dyDescent="0.2">
      <c r="C242" s="48"/>
    </row>
    <row r="243" spans="3:3" x14ac:dyDescent="0.2">
      <c r="C243" s="48"/>
    </row>
    <row r="244" spans="3:3" x14ac:dyDescent="0.2">
      <c r="C244" s="48"/>
    </row>
    <row r="245" spans="3:3" x14ac:dyDescent="0.2">
      <c r="C245" s="48"/>
    </row>
    <row r="246" spans="3:3" x14ac:dyDescent="0.2">
      <c r="C246" s="48"/>
    </row>
    <row r="247" spans="3:3" x14ac:dyDescent="0.2">
      <c r="C247" s="48"/>
    </row>
    <row r="248" spans="3:3" x14ac:dyDescent="0.2">
      <c r="C248" s="48"/>
    </row>
    <row r="249" spans="3:3" x14ac:dyDescent="0.2">
      <c r="C249" s="48"/>
    </row>
    <row r="250" spans="3:3" x14ac:dyDescent="0.2">
      <c r="C250" s="48"/>
    </row>
    <row r="251" spans="3:3" x14ac:dyDescent="0.2">
      <c r="C251" s="48"/>
    </row>
    <row r="252" spans="3:3" x14ac:dyDescent="0.2">
      <c r="C252" s="48"/>
    </row>
    <row r="253" spans="3:3" x14ac:dyDescent="0.2">
      <c r="C253" s="48"/>
    </row>
    <row r="254" spans="3:3" x14ac:dyDescent="0.2">
      <c r="C254" s="48"/>
    </row>
    <row r="255" spans="3:3" x14ac:dyDescent="0.2">
      <c r="C255" s="48"/>
    </row>
    <row r="256" spans="3:3" x14ac:dyDescent="0.2">
      <c r="C256" s="48"/>
    </row>
    <row r="257" spans="3:3" x14ac:dyDescent="0.2">
      <c r="C257" s="48"/>
    </row>
    <row r="258" spans="3:3" x14ac:dyDescent="0.2">
      <c r="C258" s="48"/>
    </row>
    <row r="259" spans="3:3" x14ac:dyDescent="0.2">
      <c r="C259" s="48"/>
    </row>
    <row r="260" spans="3:3" x14ac:dyDescent="0.2">
      <c r="C260" s="48"/>
    </row>
    <row r="261" spans="3:3" x14ac:dyDescent="0.2">
      <c r="C261" s="48"/>
    </row>
    <row r="262" spans="3:3" x14ac:dyDescent="0.2">
      <c r="C262" s="48"/>
    </row>
    <row r="263" spans="3:3" x14ac:dyDescent="0.2">
      <c r="C263" s="48"/>
    </row>
    <row r="264" spans="3:3" x14ac:dyDescent="0.2">
      <c r="C264" s="48"/>
    </row>
    <row r="265" spans="3:3" x14ac:dyDescent="0.2">
      <c r="C265" s="48"/>
    </row>
    <row r="266" spans="3:3" x14ac:dyDescent="0.2">
      <c r="C266" s="48"/>
    </row>
    <row r="267" spans="3:3" x14ac:dyDescent="0.2">
      <c r="C267" s="48"/>
    </row>
    <row r="268" spans="3:3" x14ac:dyDescent="0.2">
      <c r="C268" s="48"/>
    </row>
    <row r="269" spans="3:3" x14ac:dyDescent="0.2">
      <c r="C269" s="48"/>
    </row>
    <row r="270" spans="3:3" x14ac:dyDescent="0.2">
      <c r="C270" s="48"/>
    </row>
    <row r="271" spans="3:3" x14ac:dyDescent="0.2">
      <c r="C271" s="48"/>
    </row>
    <row r="272" spans="3:3" x14ac:dyDescent="0.2">
      <c r="C272" s="48"/>
    </row>
    <row r="273" spans="3:3" x14ac:dyDescent="0.2">
      <c r="C273" s="48"/>
    </row>
    <row r="274" spans="3:3" x14ac:dyDescent="0.2">
      <c r="C274" s="48"/>
    </row>
    <row r="275" spans="3:3" x14ac:dyDescent="0.2">
      <c r="C275" s="48"/>
    </row>
    <row r="276" spans="3:3" x14ac:dyDescent="0.2">
      <c r="C276" s="48"/>
    </row>
    <row r="277" spans="3:3" x14ac:dyDescent="0.2">
      <c r="C277" s="48"/>
    </row>
    <row r="278" spans="3:3" x14ac:dyDescent="0.2">
      <c r="C278" s="48"/>
    </row>
    <row r="279" spans="3:3" x14ac:dyDescent="0.2">
      <c r="C279" s="48"/>
    </row>
    <row r="280" spans="3:3" x14ac:dyDescent="0.2">
      <c r="C280" s="48"/>
    </row>
    <row r="281" spans="3:3" x14ac:dyDescent="0.2">
      <c r="C281" s="48"/>
    </row>
    <row r="282" spans="3:3" x14ac:dyDescent="0.2">
      <c r="C282" s="48"/>
    </row>
    <row r="283" spans="3:3" x14ac:dyDescent="0.2">
      <c r="C283" s="48"/>
    </row>
    <row r="284" spans="3:3" x14ac:dyDescent="0.2">
      <c r="C284" s="48"/>
    </row>
    <row r="285" spans="3:3" x14ac:dyDescent="0.2">
      <c r="C285" s="48"/>
    </row>
    <row r="286" spans="3:3" x14ac:dyDescent="0.2">
      <c r="C286" s="48"/>
    </row>
    <row r="287" spans="3:3" x14ac:dyDescent="0.2">
      <c r="C287" s="48"/>
    </row>
    <row r="288" spans="3:3" x14ac:dyDescent="0.2">
      <c r="C288" s="48"/>
    </row>
    <row r="289" spans="3:3" x14ac:dyDescent="0.2">
      <c r="C289" s="48"/>
    </row>
    <row r="290" spans="3:3" x14ac:dyDescent="0.2">
      <c r="C290" s="48"/>
    </row>
    <row r="291" spans="3:3" x14ac:dyDescent="0.2">
      <c r="C291" s="48"/>
    </row>
    <row r="292" spans="3:3" x14ac:dyDescent="0.2">
      <c r="C292" s="48"/>
    </row>
    <row r="293" spans="3:3" x14ac:dyDescent="0.2">
      <c r="C293" s="48"/>
    </row>
    <row r="294" spans="3:3" x14ac:dyDescent="0.2">
      <c r="C294" s="48"/>
    </row>
    <row r="295" spans="3:3" x14ac:dyDescent="0.2">
      <c r="C295" s="48"/>
    </row>
    <row r="296" spans="3:3" x14ac:dyDescent="0.2">
      <c r="C296" s="48"/>
    </row>
    <row r="297" spans="3:3" x14ac:dyDescent="0.2">
      <c r="C297" s="48"/>
    </row>
    <row r="298" spans="3:3" x14ac:dyDescent="0.2">
      <c r="C298" s="48"/>
    </row>
    <row r="299" spans="3:3" x14ac:dyDescent="0.2">
      <c r="C299" s="48"/>
    </row>
    <row r="300" spans="3:3" x14ac:dyDescent="0.2">
      <c r="C300" s="48"/>
    </row>
    <row r="301" spans="3:3" x14ac:dyDescent="0.2">
      <c r="C301" s="48"/>
    </row>
    <row r="302" spans="3:3" x14ac:dyDescent="0.2">
      <c r="C302" s="48"/>
    </row>
    <row r="303" spans="3:3" x14ac:dyDescent="0.2">
      <c r="C303" s="48"/>
    </row>
    <row r="304" spans="3:3" x14ac:dyDescent="0.2">
      <c r="C304" s="48"/>
    </row>
    <row r="305" spans="3:3" x14ac:dyDescent="0.2">
      <c r="C305" s="48"/>
    </row>
    <row r="306" spans="3:3" x14ac:dyDescent="0.2">
      <c r="C306" s="48"/>
    </row>
    <row r="307" spans="3:3" x14ac:dyDescent="0.2">
      <c r="C307" s="48"/>
    </row>
    <row r="308" spans="3:3" x14ac:dyDescent="0.2">
      <c r="C308" s="48"/>
    </row>
    <row r="309" spans="3:3" x14ac:dyDescent="0.2">
      <c r="C309" s="48"/>
    </row>
    <row r="310" spans="3:3" x14ac:dyDescent="0.2">
      <c r="C310" s="48"/>
    </row>
    <row r="311" spans="3:3" x14ac:dyDescent="0.2">
      <c r="C311" s="48"/>
    </row>
    <row r="312" spans="3:3" x14ac:dyDescent="0.2">
      <c r="C312" s="48"/>
    </row>
    <row r="313" spans="3:3" x14ac:dyDescent="0.2">
      <c r="C313" s="48"/>
    </row>
    <row r="314" spans="3:3" x14ac:dyDescent="0.2">
      <c r="C314" s="48"/>
    </row>
    <row r="315" spans="3:3" x14ac:dyDescent="0.2">
      <c r="C315" s="48"/>
    </row>
    <row r="316" spans="3:3" x14ac:dyDescent="0.2">
      <c r="C316" s="48"/>
    </row>
    <row r="317" spans="3:3" x14ac:dyDescent="0.2">
      <c r="C317" s="48"/>
    </row>
    <row r="318" spans="3:3" x14ac:dyDescent="0.2">
      <c r="C318" s="48"/>
    </row>
    <row r="319" spans="3:3" x14ac:dyDescent="0.2">
      <c r="C319" s="48"/>
    </row>
    <row r="320" spans="3:3" x14ac:dyDescent="0.2">
      <c r="C320" s="48"/>
    </row>
    <row r="321" spans="3:3" x14ac:dyDescent="0.2">
      <c r="C321" s="48"/>
    </row>
    <row r="322" spans="3:3" x14ac:dyDescent="0.2">
      <c r="C322" s="48"/>
    </row>
    <row r="323" spans="3:3" x14ac:dyDescent="0.2">
      <c r="C323" s="48"/>
    </row>
    <row r="324" spans="3:3" x14ac:dyDescent="0.2">
      <c r="C324" s="48"/>
    </row>
    <row r="325" spans="3:3" x14ac:dyDescent="0.2">
      <c r="C325" s="48"/>
    </row>
    <row r="326" spans="3:3" x14ac:dyDescent="0.2">
      <c r="C326" s="48"/>
    </row>
    <row r="327" spans="3:3" x14ac:dyDescent="0.2">
      <c r="C327" s="48"/>
    </row>
    <row r="328" spans="3:3" x14ac:dyDescent="0.2">
      <c r="C328" s="48"/>
    </row>
    <row r="329" spans="3:3" x14ac:dyDescent="0.2">
      <c r="C329" s="48"/>
    </row>
    <row r="330" spans="3:3" x14ac:dyDescent="0.2">
      <c r="C330" s="48"/>
    </row>
    <row r="331" spans="3:3" x14ac:dyDescent="0.2">
      <c r="C331" s="48"/>
    </row>
    <row r="332" spans="3:3" x14ac:dyDescent="0.2">
      <c r="C332" s="48"/>
    </row>
    <row r="333" spans="3:3" x14ac:dyDescent="0.2">
      <c r="C333" s="48"/>
    </row>
    <row r="334" spans="3:3" x14ac:dyDescent="0.2">
      <c r="C334" s="48"/>
    </row>
    <row r="335" spans="3:3" x14ac:dyDescent="0.2">
      <c r="C335" s="48"/>
    </row>
    <row r="336" spans="3:3" x14ac:dyDescent="0.2">
      <c r="C336" s="48"/>
    </row>
    <row r="337" spans="3:3" x14ac:dyDescent="0.2">
      <c r="C337" s="48"/>
    </row>
    <row r="338" spans="3:3" x14ac:dyDescent="0.2">
      <c r="C338" s="48"/>
    </row>
    <row r="339" spans="3:3" x14ac:dyDescent="0.2">
      <c r="C339" s="48"/>
    </row>
    <row r="340" spans="3:3" x14ac:dyDescent="0.2">
      <c r="C340" s="48"/>
    </row>
    <row r="341" spans="3:3" x14ac:dyDescent="0.2">
      <c r="C341" s="48"/>
    </row>
    <row r="342" spans="3:3" x14ac:dyDescent="0.2">
      <c r="C342" s="48"/>
    </row>
    <row r="343" spans="3:3" x14ac:dyDescent="0.2">
      <c r="C343" s="48"/>
    </row>
    <row r="344" spans="3:3" x14ac:dyDescent="0.2">
      <c r="C344" s="48"/>
    </row>
    <row r="345" spans="3:3" x14ac:dyDescent="0.2">
      <c r="C345" s="48"/>
    </row>
    <row r="346" spans="3:3" x14ac:dyDescent="0.2">
      <c r="C346" s="48"/>
    </row>
    <row r="347" spans="3:3" x14ac:dyDescent="0.2">
      <c r="C347" s="48"/>
    </row>
    <row r="348" spans="3:3" x14ac:dyDescent="0.2">
      <c r="C348" s="48"/>
    </row>
    <row r="349" spans="3:3" x14ac:dyDescent="0.2">
      <c r="C349" s="48"/>
    </row>
    <row r="350" spans="3:3" x14ac:dyDescent="0.2">
      <c r="C350" s="48"/>
    </row>
    <row r="351" spans="3:3" x14ac:dyDescent="0.2">
      <c r="C351" s="48"/>
    </row>
    <row r="352" spans="3:3" x14ac:dyDescent="0.2">
      <c r="C352" s="48"/>
    </row>
    <row r="353" spans="3:3" x14ac:dyDescent="0.2">
      <c r="C353" s="48"/>
    </row>
    <row r="354" spans="3:3" x14ac:dyDescent="0.2">
      <c r="C354" s="48"/>
    </row>
    <row r="355" spans="3:3" x14ac:dyDescent="0.2">
      <c r="C355" s="48"/>
    </row>
    <row r="356" spans="3:3" x14ac:dyDescent="0.2">
      <c r="C356" s="48"/>
    </row>
    <row r="357" spans="3:3" x14ac:dyDescent="0.2">
      <c r="C357" s="48"/>
    </row>
    <row r="358" spans="3:3" x14ac:dyDescent="0.2">
      <c r="C358" s="48"/>
    </row>
    <row r="359" spans="3:3" x14ac:dyDescent="0.2">
      <c r="C359" s="48"/>
    </row>
    <row r="360" spans="3:3" x14ac:dyDescent="0.2">
      <c r="C360" s="48"/>
    </row>
    <row r="361" spans="3:3" x14ac:dyDescent="0.2">
      <c r="C361" s="48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AAA7-3A9A-F84A-B3C8-AC396ADB0314}">
  <dimension ref="A1:F80"/>
  <sheetViews>
    <sheetView topLeftCell="A59" workbookViewId="0"/>
  </sheetViews>
  <sheetFormatPr baseColWidth="10" defaultRowHeight="16" x14ac:dyDescent="0.2"/>
  <cols>
    <col min="1" max="1" width="54.1640625" bestFit="1" customWidth="1"/>
    <col min="2" max="2" width="27.33203125" bestFit="1" customWidth="1"/>
    <col min="3" max="3" width="21.1640625" bestFit="1" customWidth="1"/>
    <col min="4" max="4" width="5.1640625" bestFit="1" customWidth="1"/>
  </cols>
  <sheetData>
    <row r="1" spans="1:6" x14ac:dyDescent="0.2">
      <c r="A1" s="50" t="s">
        <v>201</v>
      </c>
      <c r="B1" s="50" t="s">
        <v>196</v>
      </c>
      <c r="C1" s="50" t="s">
        <v>202</v>
      </c>
      <c r="D1" s="50" t="s">
        <v>21</v>
      </c>
    </row>
    <row r="2" spans="1:6" x14ac:dyDescent="0.2">
      <c r="A2" t="s">
        <v>214</v>
      </c>
      <c r="B2" t="s">
        <v>24</v>
      </c>
      <c r="C2" s="48">
        <v>1</v>
      </c>
      <c r="D2">
        <v>1</v>
      </c>
    </row>
    <row r="3" spans="1:6" x14ac:dyDescent="0.2">
      <c r="A3" s="51" t="s">
        <v>213</v>
      </c>
      <c r="B3" s="51" t="s">
        <v>24</v>
      </c>
      <c r="C3" s="52">
        <v>0.9</v>
      </c>
      <c r="D3">
        <v>2</v>
      </c>
    </row>
    <row r="4" spans="1:6" x14ac:dyDescent="0.2">
      <c r="A4" s="51" t="s">
        <v>213</v>
      </c>
      <c r="B4" s="51" t="s">
        <v>25</v>
      </c>
      <c r="C4" s="52">
        <v>0.1</v>
      </c>
      <c r="D4">
        <v>2</v>
      </c>
    </row>
    <row r="5" spans="1:6" x14ac:dyDescent="0.2">
      <c r="A5" t="s">
        <v>215</v>
      </c>
      <c r="B5" t="s">
        <v>24</v>
      </c>
      <c r="C5" s="48">
        <v>0.8</v>
      </c>
      <c r="D5">
        <v>3</v>
      </c>
    </row>
    <row r="6" spans="1:6" x14ac:dyDescent="0.2">
      <c r="A6" t="s">
        <v>215</v>
      </c>
      <c r="B6" t="s">
        <v>25</v>
      </c>
      <c r="C6" s="48">
        <v>0.03</v>
      </c>
      <c r="D6">
        <v>3</v>
      </c>
    </row>
    <row r="7" spans="1:6" x14ac:dyDescent="0.2">
      <c r="A7" t="s">
        <v>215</v>
      </c>
      <c r="B7" t="s">
        <v>139</v>
      </c>
      <c r="C7" s="48">
        <v>0.03</v>
      </c>
      <c r="D7">
        <v>3</v>
      </c>
    </row>
    <row r="8" spans="1:6" x14ac:dyDescent="0.2">
      <c r="A8" t="s">
        <v>215</v>
      </c>
      <c r="B8" t="s">
        <v>27</v>
      </c>
      <c r="C8" s="48">
        <v>0.08</v>
      </c>
      <c r="D8">
        <v>3</v>
      </c>
    </row>
    <row r="9" spans="1:6" x14ac:dyDescent="0.2">
      <c r="A9" t="s">
        <v>215</v>
      </c>
      <c r="B9" t="s">
        <v>143</v>
      </c>
      <c r="C9" s="48">
        <v>0.03</v>
      </c>
      <c r="D9">
        <v>3</v>
      </c>
    </row>
    <row r="10" spans="1:6" x14ac:dyDescent="0.2">
      <c r="A10" t="s">
        <v>215</v>
      </c>
      <c r="B10" t="s">
        <v>28</v>
      </c>
      <c r="C10" s="48">
        <v>0.03</v>
      </c>
      <c r="D10">
        <v>3</v>
      </c>
    </row>
    <row r="11" spans="1:6" x14ac:dyDescent="0.2">
      <c r="A11" t="s">
        <v>216</v>
      </c>
      <c r="B11" t="s">
        <v>24</v>
      </c>
      <c r="C11" s="48">
        <v>0.7</v>
      </c>
      <c r="D11">
        <v>4</v>
      </c>
      <c r="F11" s="48"/>
    </row>
    <row r="12" spans="1:6" x14ac:dyDescent="0.2">
      <c r="A12" t="s">
        <v>216</v>
      </c>
      <c r="B12" t="s">
        <v>25</v>
      </c>
      <c r="C12" s="48">
        <v>0.05</v>
      </c>
      <c r="D12">
        <v>4</v>
      </c>
      <c r="F12" s="48"/>
    </row>
    <row r="13" spans="1:6" x14ac:dyDescent="0.2">
      <c r="A13" t="s">
        <v>216</v>
      </c>
      <c r="B13" t="s">
        <v>139</v>
      </c>
      <c r="C13" s="48">
        <v>0.05</v>
      </c>
      <c r="D13">
        <v>4</v>
      </c>
      <c r="F13" s="48"/>
    </row>
    <row r="14" spans="1:6" x14ac:dyDescent="0.2">
      <c r="A14" t="s">
        <v>216</v>
      </c>
      <c r="B14" t="s">
        <v>27</v>
      </c>
      <c r="C14" s="48">
        <v>0.06</v>
      </c>
      <c r="D14">
        <v>4</v>
      </c>
      <c r="F14" s="48"/>
    </row>
    <row r="15" spans="1:6" x14ac:dyDescent="0.2">
      <c r="A15" t="s">
        <v>216</v>
      </c>
      <c r="B15" t="s">
        <v>143</v>
      </c>
      <c r="C15" s="48">
        <v>0.04</v>
      </c>
      <c r="D15">
        <v>4</v>
      </c>
      <c r="F15" s="48"/>
    </row>
    <row r="16" spans="1:6" x14ac:dyDescent="0.2">
      <c r="A16" t="s">
        <v>216</v>
      </c>
      <c r="B16" t="s">
        <v>28</v>
      </c>
      <c r="C16" s="48">
        <v>0.05</v>
      </c>
      <c r="D16">
        <v>4</v>
      </c>
      <c r="F16" s="48"/>
    </row>
    <row r="17" spans="1:6" x14ac:dyDescent="0.2">
      <c r="A17" t="s">
        <v>216</v>
      </c>
      <c r="B17" t="s">
        <v>59</v>
      </c>
      <c r="C17" s="48">
        <v>0.05</v>
      </c>
      <c r="D17">
        <v>4</v>
      </c>
      <c r="F17" s="48"/>
    </row>
    <row r="18" spans="1:6" x14ac:dyDescent="0.2">
      <c r="A18" t="s">
        <v>217</v>
      </c>
      <c r="B18" t="s">
        <v>24</v>
      </c>
      <c r="C18" s="48">
        <v>0.6</v>
      </c>
      <c r="D18">
        <v>5</v>
      </c>
    </row>
    <row r="19" spans="1:6" x14ac:dyDescent="0.2">
      <c r="A19" t="s">
        <v>217</v>
      </c>
      <c r="B19" t="s">
        <v>25</v>
      </c>
      <c r="C19" s="48">
        <v>0.04</v>
      </c>
      <c r="D19">
        <v>5</v>
      </c>
    </row>
    <row r="20" spans="1:6" x14ac:dyDescent="0.2">
      <c r="A20" t="s">
        <v>217</v>
      </c>
      <c r="B20" t="s">
        <v>138</v>
      </c>
      <c r="C20" s="48">
        <v>0.04</v>
      </c>
      <c r="D20">
        <v>5</v>
      </c>
    </row>
    <row r="21" spans="1:6" x14ac:dyDescent="0.2">
      <c r="A21" t="s">
        <v>217</v>
      </c>
      <c r="B21" t="s">
        <v>27</v>
      </c>
      <c r="C21" s="48">
        <v>0.04</v>
      </c>
      <c r="D21">
        <v>5</v>
      </c>
    </row>
    <row r="22" spans="1:6" x14ac:dyDescent="0.2">
      <c r="A22" t="s">
        <v>217</v>
      </c>
      <c r="B22" t="s">
        <v>28</v>
      </c>
      <c r="C22" s="48">
        <v>0.03</v>
      </c>
      <c r="D22">
        <v>5</v>
      </c>
    </row>
    <row r="23" spans="1:6" x14ac:dyDescent="0.2">
      <c r="A23" t="s">
        <v>217</v>
      </c>
      <c r="B23" t="s">
        <v>59</v>
      </c>
      <c r="C23" s="48">
        <v>7.0000000000000007E-2</v>
      </c>
      <c r="D23">
        <v>5</v>
      </c>
    </row>
    <row r="24" spans="1:6" x14ac:dyDescent="0.2">
      <c r="A24" t="s">
        <v>217</v>
      </c>
      <c r="B24" t="s">
        <v>159</v>
      </c>
      <c r="C24" s="48">
        <v>0.03</v>
      </c>
      <c r="D24">
        <v>5</v>
      </c>
    </row>
    <row r="25" spans="1:6" x14ac:dyDescent="0.2">
      <c r="A25" t="s">
        <v>217</v>
      </c>
      <c r="B25" t="s">
        <v>161</v>
      </c>
      <c r="C25" s="48">
        <v>0.04</v>
      </c>
      <c r="D25">
        <v>5</v>
      </c>
    </row>
    <row r="26" spans="1:6" x14ac:dyDescent="0.2">
      <c r="A26" t="s">
        <v>217</v>
      </c>
      <c r="B26" t="s">
        <v>198</v>
      </c>
      <c r="C26" s="48">
        <v>0.05</v>
      </c>
      <c r="D26">
        <v>5</v>
      </c>
    </row>
    <row r="27" spans="1:6" x14ac:dyDescent="0.2">
      <c r="A27" t="s">
        <v>217</v>
      </c>
      <c r="B27" t="s">
        <v>209</v>
      </c>
      <c r="C27" s="48">
        <v>0.02</v>
      </c>
      <c r="D27">
        <v>5</v>
      </c>
    </row>
    <row r="28" spans="1:6" x14ac:dyDescent="0.2">
      <c r="A28" t="s">
        <v>217</v>
      </c>
      <c r="B28" t="s">
        <v>194</v>
      </c>
      <c r="C28" s="48">
        <v>0.02</v>
      </c>
      <c r="D28">
        <v>5</v>
      </c>
    </row>
    <row r="29" spans="1:6" x14ac:dyDescent="0.2">
      <c r="A29" t="s">
        <v>217</v>
      </c>
      <c r="B29" t="s">
        <v>32</v>
      </c>
      <c r="C29" s="48">
        <v>0.02</v>
      </c>
      <c r="D29">
        <v>5</v>
      </c>
    </row>
    <row r="30" spans="1:6" x14ac:dyDescent="0.2">
      <c r="A30" t="s">
        <v>218</v>
      </c>
      <c r="B30" t="s">
        <v>24</v>
      </c>
      <c r="C30" s="48">
        <v>0.5</v>
      </c>
      <c r="D30">
        <v>6</v>
      </c>
    </row>
    <row r="31" spans="1:6" x14ac:dyDescent="0.2">
      <c r="A31" t="s">
        <v>218</v>
      </c>
      <c r="B31" t="s">
        <v>25</v>
      </c>
      <c r="C31" s="48">
        <v>0.05</v>
      </c>
      <c r="D31">
        <v>6</v>
      </c>
    </row>
    <row r="32" spans="1:6" x14ac:dyDescent="0.2">
      <c r="A32" t="s">
        <v>218</v>
      </c>
      <c r="B32" t="s">
        <v>138</v>
      </c>
      <c r="C32" s="48">
        <v>0.04</v>
      </c>
      <c r="D32">
        <v>6</v>
      </c>
    </row>
    <row r="33" spans="1:4" x14ac:dyDescent="0.2">
      <c r="A33" t="s">
        <v>218</v>
      </c>
      <c r="B33" t="s">
        <v>27</v>
      </c>
      <c r="C33" s="48">
        <v>0.04</v>
      </c>
      <c r="D33">
        <v>6</v>
      </c>
    </row>
    <row r="34" spans="1:4" x14ac:dyDescent="0.2">
      <c r="A34" t="s">
        <v>218</v>
      </c>
      <c r="B34" t="s">
        <v>28</v>
      </c>
      <c r="C34" s="48">
        <v>0.04</v>
      </c>
      <c r="D34">
        <v>6</v>
      </c>
    </row>
    <row r="35" spans="1:4" x14ac:dyDescent="0.2">
      <c r="A35" t="s">
        <v>218</v>
      </c>
      <c r="B35" t="s">
        <v>59</v>
      </c>
      <c r="C35" s="48">
        <v>7.0000000000000007E-2</v>
      </c>
      <c r="D35">
        <v>6</v>
      </c>
    </row>
    <row r="36" spans="1:4" x14ac:dyDescent="0.2">
      <c r="A36" t="s">
        <v>218</v>
      </c>
      <c r="B36" t="s">
        <v>159</v>
      </c>
      <c r="C36" s="48">
        <v>0.03</v>
      </c>
      <c r="D36">
        <v>6</v>
      </c>
    </row>
    <row r="37" spans="1:4" x14ac:dyDescent="0.2">
      <c r="A37" t="s">
        <v>218</v>
      </c>
      <c r="B37" t="s">
        <v>161</v>
      </c>
      <c r="C37" s="48">
        <v>0.03</v>
      </c>
      <c r="D37">
        <v>6</v>
      </c>
    </row>
    <row r="38" spans="1:4" x14ac:dyDescent="0.2">
      <c r="A38" t="s">
        <v>218</v>
      </c>
      <c r="B38" t="s">
        <v>198</v>
      </c>
      <c r="C38" s="48">
        <v>0.06</v>
      </c>
      <c r="D38">
        <v>6</v>
      </c>
    </row>
    <row r="39" spans="1:4" x14ac:dyDescent="0.2">
      <c r="A39" t="s">
        <v>218</v>
      </c>
      <c r="B39" t="s">
        <v>209</v>
      </c>
      <c r="C39" s="48">
        <v>0.05</v>
      </c>
      <c r="D39">
        <v>6</v>
      </c>
    </row>
    <row r="40" spans="1:4" x14ac:dyDescent="0.2">
      <c r="A40" t="s">
        <v>218</v>
      </c>
      <c r="B40" t="s">
        <v>194</v>
      </c>
      <c r="C40" s="48">
        <v>0.04</v>
      </c>
      <c r="D40">
        <v>6</v>
      </c>
    </row>
    <row r="41" spans="1:4" x14ac:dyDescent="0.2">
      <c r="A41" t="s">
        <v>218</v>
      </c>
      <c r="B41" t="s">
        <v>32</v>
      </c>
      <c r="C41" s="48">
        <v>0.05</v>
      </c>
      <c r="D41">
        <v>6</v>
      </c>
    </row>
    <row r="42" spans="1:4" x14ac:dyDescent="0.2">
      <c r="A42" t="s">
        <v>219</v>
      </c>
      <c r="B42" t="s">
        <v>24</v>
      </c>
      <c r="C42" s="48">
        <v>0.4</v>
      </c>
      <c r="D42">
        <v>7</v>
      </c>
    </row>
    <row r="43" spans="1:4" x14ac:dyDescent="0.2">
      <c r="A43" t="s">
        <v>219</v>
      </c>
      <c r="B43" t="s">
        <v>25</v>
      </c>
      <c r="C43" s="48">
        <v>0.05</v>
      </c>
      <c r="D43">
        <v>7</v>
      </c>
    </row>
    <row r="44" spans="1:4" x14ac:dyDescent="0.2">
      <c r="A44" t="s">
        <v>219</v>
      </c>
      <c r="B44" t="s">
        <v>138</v>
      </c>
      <c r="C44" s="48">
        <v>0.05</v>
      </c>
      <c r="D44">
        <v>7</v>
      </c>
    </row>
    <row r="45" spans="1:4" x14ac:dyDescent="0.2">
      <c r="A45" t="s">
        <v>219</v>
      </c>
      <c r="B45" t="s">
        <v>27</v>
      </c>
      <c r="C45" s="48">
        <v>0.05</v>
      </c>
      <c r="D45">
        <v>7</v>
      </c>
    </row>
    <row r="46" spans="1:4" x14ac:dyDescent="0.2">
      <c r="A46" t="s">
        <v>219</v>
      </c>
      <c r="B46" t="s">
        <v>28</v>
      </c>
      <c r="C46" s="48">
        <v>0.04</v>
      </c>
      <c r="D46">
        <v>7</v>
      </c>
    </row>
    <row r="47" spans="1:4" x14ac:dyDescent="0.2">
      <c r="A47" t="s">
        <v>219</v>
      </c>
      <c r="B47" t="s">
        <v>59</v>
      </c>
      <c r="C47" s="48">
        <v>0.08</v>
      </c>
      <c r="D47">
        <v>7</v>
      </c>
    </row>
    <row r="48" spans="1:4" x14ac:dyDescent="0.2">
      <c r="A48" t="s">
        <v>219</v>
      </c>
      <c r="B48" t="s">
        <v>159</v>
      </c>
      <c r="C48" s="48">
        <v>0.04</v>
      </c>
      <c r="D48">
        <v>7</v>
      </c>
    </row>
    <row r="49" spans="1:4" x14ac:dyDescent="0.2">
      <c r="A49" t="s">
        <v>219</v>
      </c>
      <c r="B49" t="s">
        <v>161</v>
      </c>
      <c r="C49" s="48">
        <v>0.04</v>
      </c>
      <c r="D49">
        <v>7</v>
      </c>
    </row>
    <row r="50" spans="1:4" x14ac:dyDescent="0.2">
      <c r="A50" t="s">
        <v>219</v>
      </c>
      <c r="B50" t="s">
        <v>32</v>
      </c>
      <c r="C50" s="48">
        <v>0.05</v>
      </c>
      <c r="D50">
        <v>7</v>
      </c>
    </row>
    <row r="51" spans="1:4" x14ac:dyDescent="0.2">
      <c r="A51" t="s">
        <v>219</v>
      </c>
      <c r="B51" t="s">
        <v>198</v>
      </c>
      <c r="C51" s="48">
        <v>0.04</v>
      </c>
      <c r="D51">
        <v>7</v>
      </c>
    </row>
    <row r="52" spans="1:4" x14ac:dyDescent="0.2">
      <c r="A52" t="s">
        <v>219</v>
      </c>
      <c r="B52" t="s">
        <v>197</v>
      </c>
      <c r="C52" s="48">
        <v>0.04</v>
      </c>
      <c r="D52">
        <v>7</v>
      </c>
    </row>
    <row r="53" spans="1:4" x14ac:dyDescent="0.2">
      <c r="A53" t="s">
        <v>219</v>
      </c>
      <c r="B53" t="s">
        <v>209</v>
      </c>
      <c r="C53" s="48">
        <v>7.0000000000000007E-2</v>
      </c>
      <c r="D53">
        <v>7</v>
      </c>
    </row>
    <row r="54" spans="1:4" x14ac:dyDescent="0.2">
      <c r="A54" t="s">
        <v>219</v>
      </c>
      <c r="B54" t="s">
        <v>194</v>
      </c>
      <c r="C54" s="48">
        <v>0.05</v>
      </c>
      <c r="D54">
        <v>7</v>
      </c>
    </row>
    <row r="55" spans="1:4" x14ac:dyDescent="0.2">
      <c r="A55" t="s">
        <v>220</v>
      </c>
      <c r="B55" t="s">
        <v>24</v>
      </c>
      <c r="C55" s="48">
        <v>0.3</v>
      </c>
      <c r="D55">
        <v>8</v>
      </c>
    </row>
    <row r="56" spans="1:4" x14ac:dyDescent="0.2">
      <c r="A56" t="s">
        <v>220</v>
      </c>
      <c r="B56" t="s">
        <v>25</v>
      </c>
      <c r="C56" s="48">
        <v>0.05</v>
      </c>
      <c r="D56">
        <v>8</v>
      </c>
    </row>
    <row r="57" spans="1:4" x14ac:dyDescent="0.2">
      <c r="A57" t="s">
        <v>220</v>
      </c>
      <c r="B57" t="s">
        <v>138</v>
      </c>
      <c r="C57" s="48">
        <v>0.05</v>
      </c>
      <c r="D57">
        <v>8</v>
      </c>
    </row>
    <row r="58" spans="1:4" x14ac:dyDescent="0.2">
      <c r="A58" t="s">
        <v>220</v>
      </c>
      <c r="B58" t="s">
        <v>27</v>
      </c>
      <c r="C58" s="48">
        <v>0.04</v>
      </c>
      <c r="D58">
        <v>8</v>
      </c>
    </row>
    <row r="59" spans="1:4" x14ac:dyDescent="0.2">
      <c r="A59" t="s">
        <v>220</v>
      </c>
      <c r="B59" t="s">
        <v>28</v>
      </c>
      <c r="C59" s="48">
        <v>0.04</v>
      </c>
      <c r="D59">
        <v>8</v>
      </c>
    </row>
    <row r="60" spans="1:4" x14ac:dyDescent="0.2">
      <c r="A60" t="s">
        <v>220</v>
      </c>
      <c r="B60" t="s">
        <v>59</v>
      </c>
      <c r="C60" s="48">
        <v>0.08</v>
      </c>
      <c r="D60">
        <v>8</v>
      </c>
    </row>
    <row r="61" spans="1:4" x14ac:dyDescent="0.2">
      <c r="A61" t="s">
        <v>220</v>
      </c>
      <c r="B61" t="s">
        <v>159</v>
      </c>
      <c r="C61" s="48">
        <v>0.02</v>
      </c>
      <c r="D61">
        <v>8</v>
      </c>
    </row>
    <row r="62" spans="1:4" x14ac:dyDescent="0.2">
      <c r="A62" t="s">
        <v>220</v>
      </c>
      <c r="B62" t="s">
        <v>161</v>
      </c>
      <c r="C62" s="48">
        <v>0.04</v>
      </c>
      <c r="D62">
        <v>8</v>
      </c>
    </row>
    <row r="63" spans="1:4" x14ac:dyDescent="0.2">
      <c r="A63" t="s">
        <v>220</v>
      </c>
      <c r="B63" t="s">
        <v>32</v>
      </c>
      <c r="C63" s="48">
        <v>0.08</v>
      </c>
      <c r="D63">
        <v>8</v>
      </c>
    </row>
    <row r="64" spans="1:4" x14ac:dyDescent="0.2">
      <c r="A64" t="s">
        <v>220</v>
      </c>
      <c r="B64" t="s">
        <v>198</v>
      </c>
      <c r="C64" s="48">
        <v>7.0000000000000007E-2</v>
      </c>
      <c r="D64">
        <v>8</v>
      </c>
    </row>
    <row r="65" spans="1:4" x14ac:dyDescent="0.2">
      <c r="A65" t="s">
        <v>220</v>
      </c>
      <c r="B65" t="s">
        <v>197</v>
      </c>
      <c r="C65" s="48">
        <v>7.0000000000000007E-2</v>
      </c>
      <c r="D65">
        <v>8</v>
      </c>
    </row>
    <row r="66" spans="1:4" x14ac:dyDescent="0.2">
      <c r="A66" t="s">
        <v>220</v>
      </c>
      <c r="B66" t="s">
        <v>209</v>
      </c>
      <c r="C66" s="48">
        <v>0.08</v>
      </c>
      <c r="D66">
        <v>8</v>
      </c>
    </row>
    <row r="67" spans="1:4" x14ac:dyDescent="0.2">
      <c r="A67" t="s">
        <v>220</v>
      </c>
      <c r="B67" t="s">
        <v>194</v>
      </c>
      <c r="C67" s="48">
        <v>0.08</v>
      </c>
      <c r="D67">
        <v>8</v>
      </c>
    </row>
    <row r="68" spans="1:4" x14ac:dyDescent="0.2">
      <c r="A68" t="s">
        <v>221</v>
      </c>
      <c r="B68" t="s">
        <v>24</v>
      </c>
      <c r="C68" s="48">
        <v>0.2</v>
      </c>
      <c r="D68">
        <v>9</v>
      </c>
    </row>
    <row r="69" spans="1:4" x14ac:dyDescent="0.2">
      <c r="A69" t="s">
        <v>221</v>
      </c>
      <c r="B69" t="s">
        <v>25</v>
      </c>
      <c r="C69" s="48">
        <v>0.04</v>
      </c>
      <c r="D69">
        <v>9</v>
      </c>
    </row>
    <row r="70" spans="1:4" x14ac:dyDescent="0.2">
      <c r="A70" t="s">
        <v>221</v>
      </c>
      <c r="B70" t="s">
        <v>138</v>
      </c>
      <c r="C70" s="48">
        <v>0.04</v>
      </c>
      <c r="D70">
        <v>9</v>
      </c>
    </row>
    <row r="71" spans="1:4" x14ac:dyDescent="0.2">
      <c r="A71" t="s">
        <v>221</v>
      </c>
      <c r="B71" t="s">
        <v>27</v>
      </c>
      <c r="C71" s="48">
        <v>0.05</v>
      </c>
      <c r="D71">
        <v>9</v>
      </c>
    </row>
    <row r="72" spans="1:4" x14ac:dyDescent="0.2">
      <c r="A72" t="s">
        <v>221</v>
      </c>
      <c r="B72" t="s">
        <v>28</v>
      </c>
      <c r="C72" s="48">
        <v>0.04</v>
      </c>
      <c r="D72">
        <v>9</v>
      </c>
    </row>
    <row r="73" spans="1:4" x14ac:dyDescent="0.2">
      <c r="A73" t="s">
        <v>221</v>
      </c>
      <c r="B73" t="s">
        <v>59</v>
      </c>
      <c r="C73" s="48">
        <v>0.06</v>
      </c>
      <c r="D73">
        <v>9</v>
      </c>
    </row>
    <row r="74" spans="1:4" x14ac:dyDescent="0.2">
      <c r="A74" t="s">
        <v>221</v>
      </c>
      <c r="B74" t="s">
        <v>159</v>
      </c>
      <c r="C74" s="48">
        <v>0.04</v>
      </c>
      <c r="D74">
        <v>9</v>
      </c>
    </row>
    <row r="75" spans="1:4" x14ac:dyDescent="0.2">
      <c r="A75" t="s">
        <v>221</v>
      </c>
      <c r="B75" t="s">
        <v>161</v>
      </c>
      <c r="C75" s="48">
        <v>0.04</v>
      </c>
      <c r="D75">
        <v>9</v>
      </c>
    </row>
    <row r="76" spans="1:4" x14ac:dyDescent="0.2">
      <c r="A76" t="s">
        <v>221</v>
      </c>
      <c r="B76" t="s">
        <v>32</v>
      </c>
      <c r="C76" s="48">
        <v>0.1</v>
      </c>
      <c r="D76">
        <v>9</v>
      </c>
    </row>
    <row r="77" spans="1:4" x14ac:dyDescent="0.2">
      <c r="A77" t="s">
        <v>221</v>
      </c>
      <c r="B77" t="s">
        <v>198</v>
      </c>
      <c r="C77" s="48">
        <v>0.1</v>
      </c>
      <c r="D77">
        <v>9</v>
      </c>
    </row>
    <row r="78" spans="1:4" x14ac:dyDescent="0.2">
      <c r="A78" t="s">
        <v>221</v>
      </c>
      <c r="B78" t="s">
        <v>197</v>
      </c>
      <c r="C78" s="48">
        <v>0.09</v>
      </c>
      <c r="D78">
        <v>9</v>
      </c>
    </row>
    <row r="79" spans="1:4" x14ac:dyDescent="0.2">
      <c r="A79" t="s">
        <v>221</v>
      </c>
      <c r="B79" t="s">
        <v>209</v>
      </c>
      <c r="C79" s="48">
        <v>0.1</v>
      </c>
      <c r="D79">
        <v>9</v>
      </c>
    </row>
    <row r="80" spans="1:4" x14ac:dyDescent="0.2">
      <c r="A80" t="s">
        <v>221</v>
      </c>
      <c r="B80" t="s">
        <v>194</v>
      </c>
      <c r="C80" s="48">
        <v>0.1</v>
      </c>
      <c r="D80">
        <v>9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993C6-E424-F845-8146-132A7AB3E8CB}">
  <dimension ref="A1:D69"/>
  <sheetViews>
    <sheetView workbookViewId="0">
      <selection activeCell="A52" sqref="A52"/>
    </sheetView>
  </sheetViews>
  <sheetFormatPr baseColWidth="10" defaultRowHeight="16" x14ac:dyDescent="0.2"/>
  <cols>
    <col min="1" max="1" width="56.83203125" bestFit="1" customWidth="1"/>
    <col min="2" max="2" width="34.1640625" bestFit="1" customWidth="1"/>
    <col min="3" max="3" width="21.1640625" style="48" bestFit="1" customWidth="1"/>
    <col min="4" max="4" width="10.33203125" customWidth="1"/>
  </cols>
  <sheetData>
    <row r="1" spans="1:4" x14ac:dyDescent="0.2">
      <c r="A1" s="50" t="s">
        <v>201</v>
      </c>
      <c r="B1" s="50" t="s">
        <v>196</v>
      </c>
      <c r="C1" s="50" t="s">
        <v>202</v>
      </c>
      <c r="D1" s="50" t="s">
        <v>21</v>
      </c>
    </row>
    <row r="2" spans="1:4" x14ac:dyDescent="0.2">
      <c r="A2" t="s">
        <v>231</v>
      </c>
      <c r="B2" t="s">
        <v>24</v>
      </c>
      <c r="C2" s="48">
        <v>1</v>
      </c>
    </row>
    <row r="3" spans="1:4" x14ac:dyDescent="0.2">
      <c r="A3" t="s">
        <v>232</v>
      </c>
      <c r="B3" t="s">
        <v>24</v>
      </c>
      <c r="C3" s="48">
        <v>0.9</v>
      </c>
    </row>
    <row r="4" spans="1:4" x14ac:dyDescent="0.2">
      <c r="A4" t="s">
        <v>232</v>
      </c>
      <c r="B4" t="s">
        <v>137</v>
      </c>
      <c r="C4" s="48">
        <v>0.1</v>
      </c>
    </row>
    <row r="5" spans="1:4" x14ac:dyDescent="0.2">
      <c r="A5" t="s">
        <v>233</v>
      </c>
      <c r="B5" t="s">
        <v>24</v>
      </c>
      <c r="C5" s="48">
        <v>0.8</v>
      </c>
    </row>
    <row r="6" spans="1:4" x14ac:dyDescent="0.2">
      <c r="A6" t="s">
        <v>233</v>
      </c>
      <c r="B6" t="s">
        <v>25</v>
      </c>
      <c r="C6" s="48">
        <v>0.03</v>
      </c>
    </row>
    <row r="7" spans="1:4" x14ac:dyDescent="0.2">
      <c r="A7" t="s">
        <v>233</v>
      </c>
      <c r="B7" t="s">
        <v>137</v>
      </c>
      <c r="C7" s="48">
        <v>0.08</v>
      </c>
    </row>
    <row r="8" spans="1:4" x14ac:dyDescent="0.2">
      <c r="A8" t="s">
        <v>233</v>
      </c>
      <c r="B8" t="s">
        <v>141</v>
      </c>
      <c r="C8" s="48">
        <v>0.03</v>
      </c>
    </row>
    <row r="9" spans="1:4" x14ac:dyDescent="0.2">
      <c r="A9" t="s">
        <v>233</v>
      </c>
      <c r="B9" t="s">
        <v>143</v>
      </c>
      <c r="C9" s="48">
        <v>0.03</v>
      </c>
    </row>
    <row r="10" spans="1:4" x14ac:dyDescent="0.2">
      <c r="A10" t="s">
        <v>233</v>
      </c>
      <c r="B10" t="s">
        <v>28</v>
      </c>
      <c r="C10" s="48">
        <v>0.03</v>
      </c>
    </row>
    <row r="11" spans="1:4" x14ac:dyDescent="0.2">
      <c r="A11" t="s">
        <v>234</v>
      </c>
      <c r="B11" t="s">
        <v>24</v>
      </c>
      <c r="C11" s="48">
        <v>0.7</v>
      </c>
    </row>
    <row r="12" spans="1:4" x14ac:dyDescent="0.2">
      <c r="A12" t="s">
        <v>234</v>
      </c>
      <c r="B12" t="s">
        <v>25</v>
      </c>
      <c r="C12" s="48">
        <v>0.1</v>
      </c>
    </row>
    <row r="13" spans="1:4" x14ac:dyDescent="0.2">
      <c r="A13" t="s">
        <v>234</v>
      </c>
      <c r="B13" t="s">
        <v>137</v>
      </c>
      <c r="C13" s="48">
        <v>0.1</v>
      </c>
    </row>
    <row r="14" spans="1:4" x14ac:dyDescent="0.2">
      <c r="A14" t="s">
        <v>234</v>
      </c>
      <c r="B14" t="s">
        <v>28</v>
      </c>
      <c r="C14" s="48">
        <v>0.1</v>
      </c>
    </row>
    <row r="15" spans="1:4" x14ac:dyDescent="0.2">
      <c r="A15" t="s">
        <v>235</v>
      </c>
      <c r="B15" t="s">
        <v>24</v>
      </c>
      <c r="C15" s="48">
        <v>0.6</v>
      </c>
    </row>
    <row r="16" spans="1:4" x14ac:dyDescent="0.2">
      <c r="A16" t="s">
        <v>235</v>
      </c>
      <c r="B16" t="s">
        <v>25</v>
      </c>
      <c r="C16" s="48">
        <v>0.03</v>
      </c>
    </row>
    <row r="17" spans="1:3" x14ac:dyDescent="0.2">
      <c r="A17" t="s">
        <v>235</v>
      </c>
      <c r="B17" t="s">
        <v>137</v>
      </c>
      <c r="C17" s="48">
        <v>0.04</v>
      </c>
    </row>
    <row r="18" spans="1:3" x14ac:dyDescent="0.2">
      <c r="A18" t="s">
        <v>235</v>
      </c>
      <c r="B18" t="s">
        <v>138</v>
      </c>
      <c r="C18" s="48">
        <v>0.03</v>
      </c>
    </row>
    <row r="19" spans="1:3" x14ac:dyDescent="0.2">
      <c r="A19" t="s">
        <v>235</v>
      </c>
      <c r="B19" t="s">
        <v>28</v>
      </c>
      <c r="C19" s="48">
        <v>0.03</v>
      </c>
    </row>
    <row r="20" spans="1:3" x14ac:dyDescent="0.2">
      <c r="A20" t="s">
        <v>235</v>
      </c>
      <c r="B20" t="s">
        <v>59</v>
      </c>
      <c r="C20" s="48">
        <v>0.06</v>
      </c>
    </row>
    <row r="21" spans="1:3" x14ac:dyDescent="0.2">
      <c r="A21" t="s">
        <v>235</v>
      </c>
      <c r="B21" t="s">
        <v>154</v>
      </c>
      <c r="C21" s="48">
        <v>0.03</v>
      </c>
    </row>
    <row r="22" spans="1:3" x14ac:dyDescent="0.2">
      <c r="A22" t="s">
        <v>235</v>
      </c>
      <c r="B22" t="s">
        <v>161</v>
      </c>
      <c r="C22" s="48">
        <v>0.03</v>
      </c>
    </row>
    <row r="23" spans="1:3" x14ac:dyDescent="0.2">
      <c r="A23" t="s">
        <v>235</v>
      </c>
      <c r="B23" t="s">
        <v>61</v>
      </c>
      <c r="C23" s="48">
        <v>0.05</v>
      </c>
    </row>
    <row r="24" spans="1:3" x14ac:dyDescent="0.2">
      <c r="A24" t="s">
        <v>235</v>
      </c>
      <c r="B24" t="s">
        <v>198</v>
      </c>
      <c r="C24" s="48">
        <v>0.03</v>
      </c>
    </row>
    <row r="25" spans="1:3" x14ac:dyDescent="0.2">
      <c r="A25" t="s">
        <v>235</v>
      </c>
      <c r="B25" t="s">
        <v>209</v>
      </c>
      <c r="C25" s="48">
        <v>0.04</v>
      </c>
    </row>
    <row r="26" spans="1:3" x14ac:dyDescent="0.2">
      <c r="A26" t="s">
        <v>235</v>
      </c>
      <c r="B26" t="s">
        <v>194</v>
      </c>
      <c r="C26" s="48">
        <v>0.03</v>
      </c>
    </row>
    <row r="27" spans="1:3" x14ac:dyDescent="0.2">
      <c r="A27" t="s">
        <v>236</v>
      </c>
      <c r="B27" t="s">
        <v>24</v>
      </c>
      <c r="C27" s="48">
        <v>0.5</v>
      </c>
    </row>
    <row r="28" spans="1:3" x14ac:dyDescent="0.2">
      <c r="A28" t="s">
        <v>236</v>
      </c>
      <c r="B28" t="s">
        <v>137</v>
      </c>
      <c r="C28" s="48">
        <v>0.1</v>
      </c>
    </row>
    <row r="29" spans="1:3" x14ac:dyDescent="0.2">
      <c r="A29" t="s">
        <v>236</v>
      </c>
      <c r="B29" t="s">
        <v>138</v>
      </c>
      <c r="C29" s="48">
        <v>0.1</v>
      </c>
    </row>
    <row r="30" spans="1:3" x14ac:dyDescent="0.2">
      <c r="A30" t="s">
        <v>236</v>
      </c>
      <c r="B30" t="s">
        <v>59</v>
      </c>
      <c r="C30" s="48">
        <v>0.1</v>
      </c>
    </row>
    <row r="31" spans="1:3" x14ac:dyDescent="0.2">
      <c r="A31" t="s">
        <v>236</v>
      </c>
      <c r="B31" t="s">
        <v>61</v>
      </c>
      <c r="C31" s="48">
        <v>0.1</v>
      </c>
    </row>
    <row r="32" spans="1:3" x14ac:dyDescent="0.2">
      <c r="A32" t="s">
        <v>236</v>
      </c>
      <c r="B32" t="s">
        <v>209</v>
      </c>
      <c r="C32" s="48">
        <v>0.1</v>
      </c>
    </row>
    <row r="33" spans="1:3" x14ac:dyDescent="0.2">
      <c r="A33" t="s">
        <v>237</v>
      </c>
      <c r="B33" t="s">
        <v>24</v>
      </c>
      <c r="C33" s="48">
        <v>0.4</v>
      </c>
    </row>
    <row r="34" spans="1:3" x14ac:dyDescent="0.2">
      <c r="A34" t="s">
        <v>237</v>
      </c>
      <c r="B34" t="s">
        <v>137</v>
      </c>
      <c r="C34" s="48">
        <v>0.04</v>
      </c>
    </row>
    <row r="35" spans="1:3" x14ac:dyDescent="0.2">
      <c r="A35" t="s">
        <v>237</v>
      </c>
      <c r="B35" t="s">
        <v>138</v>
      </c>
      <c r="C35" s="48">
        <v>0.03</v>
      </c>
    </row>
    <row r="36" spans="1:3" x14ac:dyDescent="0.2">
      <c r="A36" t="s">
        <v>237</v>
      </c>
      <c r="B36" t="s">
        <v>27</v>
      </c>
      <c r="C36" s="48">
        <v>0.03</v>
      </c>
    </row>
    <row r="37" spans="1:3" x14ac:dyDescent="0.2">
      <c r="A37" t="s">
        <v>237</v>
      </c>
      <c r="B37" t="s">
        <v>28</v>
      </c>
      <c r="C37" s="48">
        <v>0.03</v>
      </c>
    </row>
    <row r="38" spans="1:3" x14ac:dyDescent="0.2">
      <c r="A38" t="s">
        <v>237</v>
      </c>
      <c r="B38" t="s">
        <v>59</v>
      </c>
      <c r="C38" s="48">
        <v>0.08</v>
      </c>
    </row>
    <row r="39" spans="1:3" x14ac:dyDescent="0.2">
      <c r="A39" t="s">
        <v>237</v>
      </c>
      <c r="B39" t="s">
        <v>154</v>
      </c>
      <c r="C39" s="48">
        <v>0.03</v>
      </c>
    </row>
    <row r="40" spans="1:3" x14ac:dyDescent="0.2">
      <c r="A40" t="s">
        <v>237</v>
      </c>
      <c r="B40" t="s">
        <v>161</v>
      </c>
      <c r="C40" s="48">
        <v>0.04</v>
      </c>
    </row>
    <row r="41" spans="1:3" x14ac:dyDescent="0.2">
      <c r="A41" t="s">
        <v>237</v>
      </c>
      <c r="B41" t="s">
        <v>61</v>
      </c>
      <c r="C41" s="48">
        <v>0.1</v>
      </c>
    </row>
    <row r="42" spans="1:3" x14ac:dyDescent="0.2">
      <c r="A42" t="s">
        <v>237</v>
      </c>
      <c r="B42" t="s">
        <v>170</v>
      </c>
      <c r="C42" s="48">
        <v>0.05</v>
      </c>
    </row>
    <row r="43" spans="1:3" x14ac:dyDescent="0.2">
      <c r="A43" t="s">
        <v>237</v>
      </c>
      <c r="B43" t="s">
        <v>198</v>
      </c>
      <c r="C43" s="48">
        <v>0.03</v>
      </c>
    </row>
    <row r="44" spans="1:3" x14ac:dyDescent="0.2">
      <c r="A44" t="s">
        <v>237</v>
      </c>
      <c r="B44" t="s">
        <v>197</v>
      </c>
      <c r="C44" s="48">
        <v>0.04</v>
      </c>
    </row>
    <row r="45" spans="1:3" x14ac:dyDescent="0.2">
      <c r="A45" t="s">
        <v>237</v>
      </c>
      <c r="B45" t="s">
        <v>209</v>
      </c>
      <c r="C45" s="48">
        <v>7.0000000000000007E-2</v>
      </c>
    </row>
    <row r="46" spans="1:3" x14ac:dyDescent="0.2">
      <c r="A46" t="s">
        <v>237</v>
      </c>
      <c r="B46" t="s">
        <v>194</v>
      </c>
      <c r="C46" s="48">
        <v>0.03</v>
      </c>
    </row>
    <row r="47" spans="1:3" x14ac:dyDescent="0.2">
      <c r="A47" t="s">
        <v>238</v>
      </c>
      <c r="B47" t="s">
        <v>24</v>
      </c>
      <c r="C47" s="48">
        <v>0.3</v>
      </c>
    </row>
    <row r="48" spans="1:3" x14ac:dyDescent="0.2">
      <c r="A48" t="s">
        <v>238</v>
      </c>
      <c r="B48" t="s">
        <v>25</v>
      </c>
      <c r="C48" s="48">
        <v>0.04</v>
      </c>
    </row>
    <row r="49" spans="1:3" x14ac:dyDescent="0.2">
      <c r="A49" t="s">
        <v>238</v>
      </c>
      <c r="B49" t="s">
        <v>137</v>
      </c>
      <c r="C49" s="48">
        <v>0.1</v>
      </c>
    </row>
    <row r="50" spans="1:3" x14ac:dyDescent="0.2">
      <c r="A50" t="s">
        <v>238</v>
      </c>
      <c r="B50" t="s">
        <v>59</v>
      </c>
      <c r="C50" s="48">
        <v>0.1</v>
      </c>
    </row>
    <row r="51" spans="1:3" x14ac:dyDescent="0.2">
      <c r="A51" t="s">
        <v>238</v>
      </c>
      <c r="B51" t="s">
        <v>61</v>
      </c>
      <c r="C51" s="48">
        <v>0.1</v>
      </c>
    </row>
    <row r="52" spans="1:3" x14ac:dyDescent="0.2">
      <c r="A52" t="s">
        <v>238</v>
      </c>
      <c r="B52" t="s">
        <v>170</v>
      </c>
      <c r="C52" s="48">
        <v>0.1</v>
      </c>
    </row>
    <row r="53" spans="1:3" x14ac:dyDescent="0.2">
      <c r="A53" t="s">
        <v>238</v>
      </c>
      <c r="B53" t="s">
        <v>198</v>
      </c>
      <c r="C53" s="48">
        <v>0.1</v>
      </c>
    </row>
    <row r="54" spans="1:3" x14ac:dyDescent="0.2">
      <c r="A54" t="s">
        <v>238</v>
      </c>
      <c r="B54" t="s">
        <v>197</v>
      </c>
      <c r="C54" s="48">
        <v>0.06</v>
      </c>
    </row>
    <row r="55" spans="1:3" x14ac:dyDescent="0.2">
      <c r="A55" t="s">
        <v>238</v>
      </c>
      <c r="B55" t="s">
        <v>209</v>
      </c>
      <c r="C55" s="48">
        <v>0.1</v>
      </c>
    </row>
    <row r="56" spans="1:3" x14ac:dyDescent="0.2">
      <c r="A56" t="s">
        <v>239</v>
      </c>
      <c r="B56" t="s">
        <v>24</v>
      </c>
      <c r="C56" s="48">
        <v>0.2</v>
      </c>
    </row>
    <row r="57" spans="1:3" x14ac:dyDescent="0.2">
      <c r="A57" t="s">
        <v>239</v>
      </c>
      <c r="B57" t="s">
        <v>137</v>
      </c>
      <c r="C57" s="48">
        <v>0.05</v>
      </c>
    </row>
    <row r="58" spans="1:3" x14ac:dyDescent="0.2">
      <c r="A58" t="s">
        <v>239</v>
      </c>
      <c r="B58" t="s">
        <v>138</v>
      </c>
      <c r="C58" s="48">
        <v>0.03</v>
      </c>
    </row>
    <row r="59" spans="1:3" x14ac:dyDescent="0.2">
      <c r="A59" t="s">
        <v>239</v>
      </c>
      <c r="B59" t="s">
        <v>28</v>
      </c>
      <c r="C59" s="48">
        <v>0.03</v>
      </c>
    </row>
    <row r="60" spans="1:3" x14ac:dyDescent="0.2">
      <c r="A60" t="s">
        <v>239</v>
      </c>
      <c r="B60" t="s">
        <v>59</v>
      </c>
      <c r="C60" s="48">
        <v>0.04</v>
      </c>
    </row>
    <row r="61" spans="1:3" x14ac:dyDescent="0.2">
      <c r="A61" t="s">
        <v>239</v>
      </c>
      <c r="B61" t="s">
        <v>154</v>
      </c>
      <c r="C61" s="48">
        <v>0.03</v>
      </c>
    </row>
    <row r="62" spans="1:3" x14ac:dyDescent="0.2">
      <c r="A62" t="s">
        <v>239</v>
      </c>
      <c r="B62" t="s">
        <v>161</v>
      </c>
      <c r="C62" s="48">
        <v>0.03</v>
      </c>
    </row>
    <row r="63" spans="1:3" x14ac:dyDescent="0.2">
      <c r="A63" t="s">
        <v>239</v>
      </c>
      <c r="B63" t="s">
        <v>61</v>
      </c>
      <c r="C63" s="48">
        <v>0.09</v>
      </c>
    </row>
    <row r="64" spans="1:3" x14ac:dyDescent="0.2">
      <c r="A64" t="s">
        <v>239</v>
      </c>
      <c r="B64" t="s">
        <v>170</v>
      </c>
      <c r="C64" s="48">
        <v>0.1</v>
      </c>
    </row>
    <row r="65" spans="1:3" x14ac:dyDescent="0.2">
      <c r="A65" t="s">
        <v>239</v>
      </c>
      <c r="B65" t="s">
        <v>32</v>
      </c>
      <c r="C65" s="48">
        <v>0.09</v>
      </c>
    </row>
    <row r="66" spans="1:3" x14ac:dyDescent="0.2">
      <c r="A66" t="s">
        <v>239</v>
      </c>
      <c r="B66" t="s">
        <v>198</v>
      </c>
      <c r="C66" s="48">
        <v>0.1</v>
      </c>
    </row>
    <row r="67" spans="1:3" x14ac:dyDescent="0.2">
      <c r="A67" t="s">
        <v>239</v>
      </c>
      <c r="B67" t="s">
        <v>197</v>
      </c>
      <c r="C67" s="48">
        <v>0.08</v>
      </c>
    </row>
    <row r="68" spans="1:3" x14ac:dyDescent="0.2">
      <c r="A68" t="s">
        <v>239</v>
      </c>
      <c r="B68" t="s">
        <v>209</v>
      </c>
      <c r="C68" s="48">
        <v>0.1</v>
      </c>
    </row>
    <row r="69" spans="1:3" x14ac:dyDescent="0.2">
      <c r="A69" t="s">
        <v>239</v>
      </c>
      <c r="B69" t="s">
        <v>194</v>
      </c>
      <c r="C69" s="48">
        <v>0.03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CB09-F9DC-EA4D-A9C7-94762E26F1C1}">
  <dimension ref="A1:C54"/>
  <sheetViews>
    <sheetView topLeftCell="A4" workbookViewId="0">
      <selection activeCell="H42" sqref="H42"/>
    </sheetView>
  </sheetViews>
  <sheetFormatPr baseColWidth="10" defaultRowHeight="16" x14ac:dyDescent="0.2"/>
  <cols>
    <col min="1" max="1" width="54.33203125" bestFit="1" customWidth="1"/>
    <col min="2" max="2" width="34.1640625" bestFit="1" customWidth="1"/>
    <col min="3" max="3" width="21.1640625" bestFit="1" customWidth="1"/>
  </cols>
  <sheetData>
    <row r="1" spans="1:3" x14ac:dyDescent="0.2">
      <c r="A1" s="50" t="s">
        <v>201</v>
      </c>
      <c r="B1" s="50" t="s">
        <v>196</v>
      </c>
      <c r="C1" s="50" t="s">
        <v>202</v>
      </c>
    </row>
    <row r="2" spans="1:3" x14ac:dyDescent="0.2">
      <c r="A2" t="s">
        <v>222</v>
      </c>
      <c r="B2" t="s">
        <v>24</v>
      </c>
      <c r="C2" s="48">
        <v>1</v>
      </c>
    </row>
    <row r="3" spans="1:3" x14ac:dyDescent="0.2">
      <c r="A3" t="s">
        <v>223</v>
      </c>
      <c r="B3" t="s">
        <v>24</v>
      </c>
      <c r="C3" s="48">
        <v>0.9</v>
      </c>
    </row>
    <row r="4" spans="1:3" x14ac:dyDescent="0.2">
      <c r="A4" t="s">
        <v>223</v>
      </c>
      <c r="B4" t="s">
        <v>25</v>
      </c>
      <c r="C4" s="48">
        <v>0.1</v>
      </c>
    </row>
    <row r="5" spans="1:3" x14ac:dyDescent="0.2">
      <c r="A5" t="s">
        <v>224</v>
      </c>
      <c r="B5" t="s">
        <v>24</v>
      </c>
      <c r="C5" s="48">
        <v>0.8</v>
      </c>
    </row>
    <row r="6" spans="1:3" x14ac:dyDescent="0.2">
      <c r="A6" t="s">
        <v>224</v>
      </c>
      <c r="B6" t="s">
        <v>25</v>
      </c>
      <c r="C6" s="48">
        <v>0.05</v>
      </c>
    </row>
    <row r="7" spans="1:3" x14ac:dyDescent="0.2">
      <c r="A7" t="s">
        <v>224</v>
      </c>
      <c r="B7" t="s">
        <v>137</v>
      </c>
      <c r="C7" s="48">
        <v>0.05</v>
      </c>
    </row>
    <row r="8" spans="1:3" x14ac:dyDescent="0.2">
      <c r="A8" t="s">
        <v>224</v>
      </c>
      <c r="B8" t="s">
        <v>141</v>
      </c>
      <c r="C8" s="48">
        <v>0.05</v>
      </c>
    </row>
    <row r="9" spans="1:3" x14ac:dyDescent="0.2">
      <c r="A9" t="s">
        <v>224</v>
      </c>
      <c r="B9" t="s">
        <v>27</v>
      </c>
      <c r="C9" s="48">
        <v>0.05</v>
      </c>
    </row>
    <row r="10" spans="1:3" x14ac:dyDescent="0.2">
      <c r="A10" s="48" t="s">
        <v>225</v>
      </c>
      <c r="B10" s="48" t="s">
        <v>24</v>
      </c>
      <c r="C10" s="48">
        <v>0.7</v>
      </c>
    </row>
    <row r="11" spans="1:3" x14ac:dyDescent="0.2">
      <c r="A11" s="48" t="s">
        <v>225</v>
      </c>
      <c r="B11" s="48" t="s">
        <v>147</v>
      </c>
      <c r="C11" s="48">
        <v>0.1</v>
      </c>
    </row>
    <row r="12" spans="1:3" x14ac:dyDescent="0.2">
      <c r="A12" s="48" t="s">
        <v>225</v>
      </c>
      <c r="B12" s="48" t="s">
        <v>155</v>
      </c>
      <c r="C12" s="48">
        <v>0.1</v>
      </c>
    </row>
    <row r="13" spans="1:3" x14ac:dyDescent="0.2">
      <c r="A13" s="48" t="s">
        <v>225</v>
      </c>
      <c r="B13" s="48" t="s">
        <v>198</v>
      </c>
      <c r="C13" s="48">
        <v>0.1</v>
      </c>
    </row>
    <row r="14" spans="1:3" x14ac:dyDescent="0.2">
      <c r="A14" t="s">
        <v>226</v>
      </c>
      <c r="B14" t="s">
        <v>24</v>
      </c>
      <c r="C14" s="48">
        <v>0.6</v>
      </c>
    </row>
    <row r="15" spans="1:3" x14ac:dyDescent="0.2">
      <c r="A15" t="s">
        <v>226</v>
      </c>
      <c r="B15" t="s">
        <v>147</v>
      </c>
      <c r="C15" s="48">
        <v>0.1</v>
      </c>
    </row>
    <row r="16" spans="1:3" x14ac:dyDescent="0.2">
      <c r="A16" t="s">
        <v>226</v>
      </c>
      <c r="B16" t="s">
        <v>59</v>
      </c>
      <c r="C16" s="48">
        <v>0.05</v>
      </c>
    </row>
    <row r="17" spans="1:3" x14ac:dyDescent="0.2">
      <c r="A17" t="s">
        <v>226</v>
      </c>
      <c r="B17" t="s">
        <v>155</v>
      </c>
      <c r="C17" s="48">
        <v>0.1</v>
      </c>
    </row>
    <row r="18" spans="1:3" x14ac:dyDescent="0.2">
      <c r="A18" t="s">
        <v>226</v>
      </c>
      <c r="B18" t="s">
        <v>61</v>
      </c>
      <c r="C18" s="48">
        <v>0.05</v>
      </c>
    </row>
    <row r="19" spans="1:3" x14ac:dyDescent="0.2">
      <c r="A19" t="s">
        <v>226</v>
      </c>
      <c r="B19" t="s">
        <v>32</v>
      </c>
      <c r="C19" s="48">
        <v>0.03</v>
      </c>
    </row>
    <row r="20" spans="1:3" x14ac:dyDescent="0.2">
      <c r="A20" t="s">
        <v>226</v>
      </c>
      <c r="B20" t="s">
        <v>198</v>
      </c>
      <c r="C20" s="48">
        <v>7.0000000000000007E-2</v>
      </c>
    </row>
    <row r="21" spans="1:3" x14ac:dyDescent="0.2">
      <c r="A21" t="s">
        <v>227</v>
      </c>
      <c r="B21" t="s">
        <v>24</v>
      </c>
      <c r="C21" s="48">
        <v>0.5</v>
      </c>
    </row>
    <row r="22" spans="1:3" x14ac:dyDescent="0.2">
      <c r="A22" t="s">
        <v>227</v>
      </c>
      <c r="B22" t="s">
        <v>147</v>
      </c>
      <c r="C22" s="48">
        <v>0.1</v>
      </c>
    </row>
    <row r="23" spans="1:3" x14ac:dyDescent="0.2">
      <c r="A23" t="s">
        <v>227</v>
      </c>
      <c r="B23" t="s">
        <v>155</v>
      </c>
      <c r="C23" s="48">
        <v>0.1</v>
      </c>
    </row>
    <row r="24" spans="1:3" x14ac:dyDescent="0.2">
      <c r="A24" t="s">
        <v>227</v>
      </c>
      <c r="B24" t="s">
        <v>61</v>
      </c>
      <c r="C24" s="48">
        <v>0.1</v>
      </c>
    </row>
    <row r="25" spans="1:3" x14ac:dyDescent="0.2">
      <c r="A25" t="s">
        <v>227</v>
      </c>
      <c r="B25" t="s">
        <v>32</v>
      </c>
      <c r="C25" s="48">
        <v>0.1</v>
      </c>
    </row>
    <row r="26" spans="1:3" x14ac:dyDescent="0.2">
      <c r="A26" t="s">
        <v>227</v>
      </c>
      <c r="B26" t="s">
        <v>198</v>
      </c>
      <c r="C26" s="48">
        <v>0.1</v>
      </c>
    </row>
    <row r="27" spans="1:3" x14ac:dyDescent="0.2">
      <c r="A27" t="s">
        <v>228</v>
      </c>
      <c r="B27" t="s">
        <v>24</v>
      </c>
      <c r="C27" s="48">
        <v>0.4</v>
      </c>
    </row>
    <row r="28" spans="1:3" x14ac:dyDescent="0.2">
      <c r="A28" t="s">
        <v>228</v>
      </c>
      <c r="B28" t="s">
        <v>147</v>
      </c>
      <c r="C28" s="48">
        <v>0.1</v>
      </c>
    </row>
    <row r="29" spans="1:3" x14ac:dyDescent="0.2">
      <c r="A29" t="s">
        <v>228</v>
      </c>
      <c r="B29" t="s">
        <v>155</v>
      </c>
      <c r="C29" s="48">
        <v>0.1</v>
      </c>
    </row>
    <row r="30" spans="1:3" x14ac:dyDescent="0.2">
      <c r="A30" t="s">
        <v>228</v>
      </c>
      <c r="B30" t="s">
        <v>61</v>
      </c>
      <c r="C30" s="48">
        <v>0.1</v>
      </c>
    </row>
    <row r="31" spans="1:3" x14ac:dyDescent="0.2">
      <c r="A31" t="s">
        <v>228</v>
      </c>
      <c r="B31" t="s">
        <v>170</v>
      </c>
      <c r="C31" s="48">
        <v>0.05</v>
      </c>
    </row>
    <row r="32" spans="1:3" x14ac:dyDescent="0.2">
      <c r="A32" t="s">
        <v>228</v>
      </c>
      <c r="B32" t="s">
        <v>32</v>
      </c>
      <c r="C32" s="48">
        <v>0.1</v>
      </c>
    </row>
    <row r="33" spans="1:3" x14ac:dyDescent="0.2">
      <c r="A33" t="s">
        <v>228</v>
      </c>
      <c r="B33" t="s">
        <v>198</v>
      </c>
      <c r="C33" s="48">
        <v>0.08</v>
      </c>
    </row>
    <row r="34" spans="1:3" x14ac:dyDescent="0.2">
      <c r="A34" t="s">
        <v>228</v>
      </c>
      <c r="B34" t="s">
        <v>197</v>
      </c>
      <c r="C34" s="48">
        <v>0.04</v>
      </c>
    </row>
    <row r="35" spans="1:3" x14ac:dyDescent="0.2">
      <c r="A35" t="s">
        <v>228</v>
      </c>
      <c r="B35" t="s">
        <v>199</v>
      </c>
      <c r="C35" s="48">
        <v>0.03</v>
      </c>
    </row>
    <row r="36" spans="1:3" x14ac:dyDescent="0.2">
      <c r="A36" t="s">
        <v>229</v>
      </c>
      <c r="B36" t="s">
        <v>24</v>
      </c>
      <c r="C36" s="48">
        <v>0.3</v>
      </c>
    </row>
    <row r="37" spans="1:3" x14ac:dyDescent="0.2">
      <c r="A37" t="s">
        <v>229</v>
      </c>
      <c r="B37" t="s">
        <v>25</v>
      </c>
      <c r="C37" s="48">
        <v>0.04</v>
      </c>
    </row>
    <row r="38" spans="1:3" x14ac:dyDescent="0.2">
      <c r="A38" t="s">
        <v>229</v>
      </c>
      <c r="B38" t="s">
        <v>155</v>
      </c>
      <c r="C38" s="48">
        <v>0.1</v>
      </c>
    </row>
    <row r="39" spans="1:3" x14ac:dyDescent="0.2">
      <c r="A39" t="s">
        <v>229</v>
      </c>
      <c r="B39" t="s">
        <v>61</v>
      </c>
      <c r="C39" s="48">
        <v>0.1</v>
      </c>
    </row>
    <row r="40" spans="1:3" x14ac:dyDescent="0.2">
      <c r="A40" t="s">
        <v>229</v>
      </c>
      <c r="B40" t="s">
        <v>170</v>
      </c>
      <c r="C40" s="48">
        <v>0.1</v>
      </c>
    </row>
    <row r="41" spans="1:3" x14ac:dyDescent="0.2">
      <c r="A41" t="s">
        <v>229</v>
      </c>
      <c r="B41" t="s">
        <v>32</v>
      </c>
      <c r="C41" s="48">
        <v>0.1</v>
      </c>
    </row>
    <row r="42" spans="1:3" x14ac:dyDescent="0.2">
      <c r="A42" t="s">
        <v>229</v>
      </c>
      <c r="B42" t="s">
        <v>198</v>
      </c>
      <c r="C42" s="48">
        <v>0.1</v>
      </c>
    </row>
    <row r="43" spans="1:3" x14ac:dyDescent="0.2">
      <c r="A43" t="s">
        <v>229</v>
      </c>
      <c r="B43" t="s">
        <v>197</v>
      </c>
      <c r="C43" s="48">
        <v>0.06</v>
      </c>
    </row>
    <row r="44" spans="1:3" x14ac:dyDescent="0.2">
      <c r="A44" t="s">
        <v>229</v>
      </c>
      <c r="B44" t="s">
        <v>199</v>
      </c>
      <c r="C44" s="48">
        <v>0.1</v>
      </c>
    </row>
    <row r="45" spans="1:3" x14ac:dyDescent="0.2">
      <c r="A45" t="s">
        <v>230</v>
      </c>
      <c r="B45" t="s">
        <v>24</v>
      </c>
      <c r="C45" s="48">
        <v>0.2</v>
      </c>
    </row>
    <row r="46" spans="1:3" x14ac:dyDescent="0.2">
      <c r="A46" t="s">
        <v>230</v>
      </c>
      <c r="B46" t="s">
        <v>59</v>
      </c>
      <c r="C46" s="48">
        <v>0.03</v>
      </c>
    </row>
    <row r="47" spans="1:3" x14ac:dyDescent="0.2">
      <c r="A47" t="s">
        <v>230</v>
      </c>
      <c r="B47" t="s">
        <v>155</v>
      </c>
      <c r="C47" s="48">
        <v>0.1</v>
      </c>
    </row>
    <row r="48" spans="1:3" x14ac:dyDescent="0.2">
      <c r="A48" t="s">
        <v>230</v>
      </c>
      <c r="B48" t="s">
        <v>61</v>
      </c>
      <c r="C48" s="48">
        <v>0.1</v>
      </c>
    </row>
    <row r="49" spans="1:3" x14ac:dyDescent="0.2">
      <c r="A49" t="s">
        <v>230</v>
      </c>
      <c r="B49" t="s">
        <v>170</v>
      </c>
      <c r="C49" s="48">
        <v>0.1</v>
      </c>
    </row>
    <row r="50" spans="1:3" x14ac:dyDescent="0.2">
      <c r="A50" t="s">
        <v>230</v>
      </c>
      <c r="B50" t="s">
        <v>32</v>
      </c>
      <c r="C50" s="48">
        <v>0.1</v>
      </c>
    </row>
    <row r="51" spans="1:3" x14ac:dyDescent="0.2">
      <c r="A51" t="s">
        <v>230</v>
      </c>
      <c r="B51" t="s">
        <v>198</v>
      </c>
      <c r="C51" s="48">
        <v>0.1</v>
      </c>
    </row>
    <row r="52" spans="1:3" x14ac:dyDescent="0.2">
      <c r="A52" t="s">
        <v>230</v>
      </c>
      <c r="B52" t="s">
        <v>197</v>
      </c>
      <c r="C52" s="48">
        <v>0.08</v>
      </c>
    </row>
    <row r="53" spans="1:3" x14ac:dyDescent="0.2">
      <c r="A53" t="s">
        <v>230</v>
      </c>
      <c r="B53" t="s">
        <v>199</v>
      </c>
      <c r="C53" s="48">
        <v>0.1</v>
      </c>
    </row>
    <row r="54" spans="1:3" x14ac:dyDescent="0.2">
      <c r="A54" t="s">
        <v>230</v>
      </c>
      <c r="B54" t="s">
        <v>194</v>
      </c>
      <c r="C54" s="48">
        <v>0.09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Nível Geral</vt:lpstr>
      <vt:lpstr>Geral</vt:lpstr>
      <vt:lpstr>Nível IQ</vt:lpstr>
      <vt:lpstr>IQ</vt:lpstr>
      <vt:lpstr>Dados </vt:lpstr>
      <vt:lpstr>Dados Mês a mês </vt:lpstr>
      <vt:lpstr>Fundos Selecionados</vt:lpstr>
      <vt:lpstr>Geral Light - IG</vt:lpstr>
      <vt:lpstr>Carteira IG</vt:lpstr>
      <vt:lpstr>IQ 360</vt:lpstr>
      <vt:lpstr>IQ 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 De matos</dc:creator>
  <dc:description/>
  <cp:lastModifiedBy>Lucas  De matos</cp:lastModifiedBy>
  <cp:revision>0</cp:revision>
  <dcterms:created xsi:type="dcterms:W3CDTF">2026-05-13T13:44:57Z</dcterms:created>
  <dcterms:modified xsi:type="dcterms:W3CDTF">2026-08-05T23:53:40Z</dcterms:modified>
  <dc:language>en-US</dc:language>
</cp:coreProperties>
</file>